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rn Data" sheetId="2" state="visible" r:id="rId4"/>
    <sheet name="TAM 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<sst xmlns="http://schemas.openxmlformats.org/spreadsheetml/2006/main" count="248" uniqueCount="172">
  <si>
    <t xml:space="preserve">Columbus State Bank — Livestock Auction Platform</t>
  </si>
  <si>
    <t xml:space="preserve">TAM / SAM / SOM Market Sizing — Stage 3 Analysis</t>
  </si>
  <si>
    <t xml:space="preserve">Group 6 | Columbus State Capstone | March 2026</t>
  </si>
  <si>
    <t xml:space="preserve">KEY MARKET SIZING METRICS</t>
  </si>
  <si>
    <t xml:space="preserve">Total Addressable Market (TAM)</t>
  </si>
  <si>
    <t xml:space="preserve">~$5.9B</t>
  </si>
  <si>
    <t xml:space="preserve">All ~180 TX auction barns</t>
  </si>
  <si>
    <t xml:space="preserve">Serviceable Available Market (SAM)</t>
  </si>
  <si>
    <t xml:space="preserve">$2.7B – $3.7B</t>
  </si>
  <si>
    <t xml:space="preserve">60–80 barns in CSB footprint</t>
  </si>
  <si>
    <t xml:space="preserve">SOM — Conservative (5%)</t>
  </si>
  <si>
    <t xml:space="preserve">$160M</t>
  </si>
  <si>
    <t xml:space="preserve">~4 barns onboarded</t>
  </si>
  <si>
    <t xml:space="preserve">SOM — Base Case (15%)</t>
  </si>
  <si>
    <t xml:space="preserve">$480M</t>
  </si>
  <si>
    <t xml:space="preserve">~12 barns onboarded</t>
  </si>
  <si>
    <t xml:space="preserve">SOM — Optimistic (25%)</t>
  </si>
  <si>
    <t xml:space="preserve">$800M</t>
  </si>
  <si>
    <t xml:space="preserve">~20 barns onboarded</t>
  </si>
  <si>
    <t xml:space="preserve">Observed barns (5+ weeks)</t>
  </si>
  <si>
    <t xml:space="preserve">26 barns</t>
  </si>
  <si>
    <t xml:space="preserve">$1.63B combined annual volume</t>
  </si>
  <si>
    <t xml:space="preserve">Median annual volume per barn</t>
  </si>
  <si>
    <t xml:space="preserve">$45.7M</t>
  </si>
  <si>
    <t xml:space="preserve">25th–75th pct: $22M – $72M</t>
  </si>
  <si>
    <t xml:space="preserve">Est. checks per $1M of sales</t>
  </si>
  <si>
    <t xml:space="preserve">~152 transactions</t>
  </si>
  <si>
    <t xml:space="preserve">Based on sponsor anchor barn</t>
  </si>
  <si>
    <t xml:space="preserve">MARKET SIZING FUNNEL</t>
  </si>
  <si>
    <t xml:space="preserve">Market Level</t>
  </si>
  <si>
    <t xml:space="preserve">$ Volume</t>
  </si>
  <si>
    <t xml:space="preserve"># Barns</t>
  </si>
  <si>
    <t xml:space="preserve">Basis</t>
  </si>
  <si>
    <t xml:space="preserve">TAM — Total Addressable Market</t>
  </si>
  <si>
    <t xml:space="preserve">~$5,900M</t>
  </si>
  <si>
    <t xml:space="preserve">~180 barns</t>
  </si>
  <si>
    <t xml:space="preserve">Bottom-up: 26 observed ($1.63B) + 154 remaining at 60% median</t>
  </si>
  <si>
    <t xml:space="preserve">SAM — Serviceable Available Market</t>
  </si>
  <si>
    <t xml:space="preserve">$2,742M – $3,656M</t>
  </si>
  <si>
    <t xml:space="preserve">60–80 barns</t>
  </si>
  <si>
    <t xml:space="preserve">CSB geographic footprint at median $45.7M/barn</t>
  </si>
  <si>
    <t xml:space="preserve">SOM — Conservative</t>
  </si>
  <si>
    <t xml:space="preserve">~$160M</t>
  </si>
  <si>
    <t xml:space="preserve">~4 barns</t>
  </si>
  <si>
    <t xml:space="preserve">5% SAM penetration over 3 years</t>
  </si>
  <si>
    <t xml:space="preserve">SOM — Base Case</t>
  </si>
  <si>
    <t xml:space="preserve">~$480M</t>
  </si>
  <si>
    <t xml:space="preserve">~12 barns</t>
  </si>
  <si>
    <t xml:space="preserve">15% SAM penetration over 3 years</t>
  </si>
  <si>
    <t xml:space="preserve">SOM — Optimistic</t>
  </si>
  <si>
    <t xml:space="preserve">~$800M</t>
  </si>
  <si>
    <t xml:space="preserve">~20 barns</t>
  </si>
  <si>
    <t xml:space="preserve">25% SAM penetration over 3 years</t>
  </si>
  <si>
    <t xml:space="preserve">Note: All volumes represent annual livestock transaction dollar flows, not CSB revenue. Revenue modeling is addressed in Stage 4.</t>
  </si>
  <si>
    <t xml:space="preserve">Barn-Level Data — Annual Dollar Volume Estimates</t>
  </si>
  <si>
    <t xml:space="preserve">Source: USDA AMS Livestock Market News | TX Dept of Ag Market News | Jan 2024 – Mar 2026 | Normalized to $/head (450 lb avg for $/cwt barns)</t>
  </si>
  <si>
    <t xml:space="preserve">Barn Name</t>
  </si>
  <si>
    <t xml:space="preserve">Cluster</t>
  </si>
  <si>
    <t xml:space="preserve">Weeks of Data</t>
  </si>
  <si>
    <t xml:space="preserve">Price Unit</t>
  </si>
  <si>
    <t xml:space="preserve">Avg Head/Sale</t>
  </si>
  <si>
    <t xml:space="preserve">Median Price/Head ($)</t>
  </si>
  <si>
    <t xml:space="preserve">Est. Annual Head</t>
  </si>
  <si>
    <t xml:space="preserve">Est. Annual $ Volume</t>
  </si>
  <si>
    <t xml:space="preserve">Jordan Cattle</t>
  </si>
  <si>
    <t xml:space="preserve">C2 - Balanced Mid-Market</t>
  </si>
  <si>
    <t xml:space="preserve">$/cwt</t>
  </si>
  <si>
    <t xml:space="preserve">Giddings Livestock Commission</t>
  </si>
  <si>
    <t xml:space="preserve">$/cwt (reported $/lb)</t>
  </si>
  <si>
    <t xml:space="preserve">Navasota</t>
  </si>
  <si>
    <t xml:space="preserve">Nacogdoches Livestock</t>
  </si>
  <si>
    <t xml:space="preserve">C4 - East TX Piney Woods</t>
  </si>
  <si>
    <t xml:space="preserve">$/lb</t>
  </si>
  <si>
    <t xml:space="preserve">Gonzales Livestock</t>
  </si>
  <si>
    <t xml:space="preserve">Emory Livestock Auction</t>
  </si>
  <si>
    <t xml:space="preserve">C3 - Below-Avg Niche</t>
  </si>
  <si>
    <t xml:space="preserve">Tri-County Livestock Market</t>
  </si>
  <si>
    <t xml:space="preserve">Cattlemans Brenham</t>
  </si>
  <si>
    <t xml:space="preserve">Gulf Coast Livestock Market</t>
  </si>
  <si>
    <t xml:space="preserve">Brazos Valley</t>
  </si>
  <si>
    <t xml:space="preserve">El Campo</t>
  </si>
  <si>
    <t xml:space="preserve">C1 - Premium South TX</t>
  </si>
  <si>
    <t xml:space="preserve">$/head</t>
  </si>
  <si>
    <t xml:space="preserve">Live Oak</t>
  </si>
  <si>
    <t xml:space="preserve">Beeville Livestock Commission</t>
  </si>
  <si>
    <t xml:space="preserve">Raywood</t>
  </si>
  <si>
    <t xml:space="preserve">Hunt Livestock Exchange</t>
  </si>
  <si>
    <t xml:space="preserve">Haletsville Livestock</t>
  </si>
  <si>
    <t xml:space="preserve">Hondo Livestock Auction</t>
  </si>
  <si>
    <t xml:space="preserve">Cuero</t>
  </si>
  <si>
    <t xml:space="preserve">Coryell</t>
  </si>
  <si>
    <t xml:space="preserve">Pearsall</t>
  </si>
  <si>
    <t xml:space="preserve">Gonzales</t>
  </si>
  <si>
    <t xml:space="preserve">Columbus</t>
  </si>
  <si>
    <t xml:space="preserve">Brenham</t>
  </si>
  <si>
    <t xml:space="preserve">Comanche Livestock Exchange</t>
  </si>
  <si>
    <t xml:space="preserve">Four County</t>
  </si>
  <si>
    <t xml:space="preserve">Comanche</t>
  </si>
  <si>
    <t xml:space="preserve">TOTAL (26 barns)</t>
  </si>
  <si>
    <t xml:space="preserve">Cluster Legend (from EDA segmentation)</t>
  </si>
  <si>
    <t xml:space="preserve">7 barns — ~$470–540/cwt | South TX brush country — highest prices &amp; head counts</t>
  </si>
  <si>
    <t xml:space="preserve">15 barns — ~$370–413/cwt | South/Central/East Central TX — state price benchmark</t>
  </si>
  <si>
    <t xml:space="preserve">2 barns — ~$245–256/cwt | Northeast/Central TX — below-average, data caveats apply</t>
  </si>
  <si>
    <t xml:space="preserve">4 barns — ~$226–246/cwt | East TX — coherent regional identity, below state average</t>
  </si>
  <si>
    <t xml:space="preserve">TAM — Bottom-Up Calculation &amp; Assumptions</t>
  </si>
  <si>
    <t xml:space="preserve">TAM CALCULATION</t>
  </si>
  <si>
    <t xml:space="preserve">Assumption / Component</t>
  </si>
  <si>
    <t xml:space="preserve">Value</t>
  </si>
  <si>
    <t xml:space="preserve">Unit</t>
  </si>
  <si>
    <t xml:space="preserve">Formula / Basis</t>
  </si>
  <si>
    <t xml:space="preserve">Source / Notes</t>
  </si>
  <si>
    <t xml:space="preserve">Observed barns in dataset (5+ weeks)</t>
  </si>
  <si>
    <t xml:space="preserve">barns</t>
  </si>
  <si>
    <t xml:space="preserve">Count</t>
  </si>
  <si>
    <t xml:space="preserve">USDA AMS / TX Dept of Ag Market News — Jan 2024 to Mar 2026</t>
  </si>
  <si>
    <t xml:space="preserve">Observed combined annual volume</t>
  </si>
  <si>
    <t xml:space="preserve">$1,629M</t>
  </si>
  <si>
    <t xml:space="preserve">$M</t>
  </si>
  <si>
    <t xml:space="preserve">Calculated</t>
  </si>
  <si>
    <t xml:space="preserve">Sum of 26 barn-level estimates (Barn Data sheet)</t>
  </si>
  <si>
    <t xml:space="preserve">Total TX licensed auction barns (est.)</t>
  </si>
  <si>
    <t xml:space="preserve">Assumption</t>
  </si>
  <si>
    <t xml:space="preserve">USDA NASS 2022 — ~175–200 licensed TX auction markets</t>
  </si>
  <si>
    <t xml:space="preserve">Remaining unobserved barns</t>
  </si>
  <si>
    <t xml:space="preserve">Difference: total minus observed</t>
  </si>
  <si>
    <t xml:space="preserve">Median annual volume per barn (observed)</t>
  </si>
  <si>
    <t xml:space="preserve">Median of 26 barn estimates</t>
  </si>
  <si>
    <t xml:space="preserve">Size adjustment for unobserved barns</t>
  </si>
  <si>
    <t xml:space="preserve">60%</t>
  </si>
  <si>
    <t xml:space="preserve">%</t>
  </si>
  <si>
    <t xml:space="preserve">Unobserved barns skew smaller; not captured in USDA reporting</t>
  </si>
  <si>
    <t xml:space="preserve">Unobserved barn volume (est.)</t>
  </si>
  <si>
    <t xml:space="preserve">$4,223M</t>
  </si>
  <si>
    <t xml:space="preserve">154 x $45.7M x 60% adjustment</t>
  </si>
  <si>
    <t xml:space="preserve">Scaled estimate for remaining 154 barns</t>
  </si>
  <si>
    <t xml:space="preserve">TOTAL TAM</t>
  </si>
  <si>
    <t xml:space="preserve">$1,629M + $4,223M</t>
  </si>
  <si>
    <t xml:space="preserve">Bottom-up data-derived estimate</t>
  </si>
  <si>
    <t xml:space="preserve">SAM CALCULATION</t>
  </si>
  <si>
    <t xml:space="preserve">Barns in CSB geographic footprint</t>
  </si>
  <si>
    <t xml:space="preserve">60–80</t>
  </si>
  <si>
    <t xml:space="preserve">CSB is a community bank; operational capacity and geography limit serviceable barns</t>
  </si>
  <si>
    <t xml:space="preserve">From TAM calc</t>
  </si>
  <si>
    <t xml:space="preserve">Median of 26 observed barns — used as per-barn proxy</t>
  </si>
  <si>
    <t xml:space="preserve">SAM — Low (60 barns)</t>
  </si>
  <si>
    <t xml:space="preserve">$2,742M</t>
  </si>
  <si>
    <t xml:space="preserve">60 barns x $45.7M median</t>
  </si>
  <si>
    <t xml:space="preserve">Conservative geographic reach</t>
  </si>
  <si>
    <t xml:space="preserve">SAM — High (80 barns)</t>
  </si>
  <si>
    <t xml:space="preserve">$3,656M</t>
  </si>
  <si>
    <t xml:space="preserve">80 barns x $45.7M median</t>
  </si>
  <si>
    <t xml:space="preserve">Extended geographic reach</t>
  </si>
  <si>
    <t xml:space="preserve">SAM — Midpoint (used in SOM)</t>
  </si>
  <si>
    <t xml:space="preserve">$3,199M</t>
  </si>
  <si>
    <t xml:space="preserve">($2,742M + $3,656M) / 2</t>
  </si>
  <si>
    <t xml:space="preserve">Used as base for SOM scenario modeling</t>
  </si>
  <si>
    <t xml:space="preserve">SOM SCENARIOS</t>
  </si>
  <si>
    <t xml:space="preserve">Scenario</t>
  </si>
  <si>
    <t xml:space="preserve">Penetration Rate</t>
  </si>
  <si>
    <t xml:space="preserve">Barns Onboarded</t>
  </si>
  <si>
    <t xml:space="preserve">$ Volume (SOM)</t>
  </si>
  <si>
    <t xml:space="preserve">Annual Checks Flowing Through Platform</t>
  </si>
  <si>
    <t xml:space="preserve">Conservative</t>
  </si>
  <si>
    <t xml:space="preserve">5%</t>
  </si>
  <si>
    <t xml:space="preserve">~24M checks/year</t>
  </si>
  <si>
    <t xml:space="preserve">Base Case</t>
  </si>
  <si>
    <t xml:space="preserve">15%</t>
  </si>
  <si>
    <t xml:space="preserve">~73M checks/year</t>
  </si>
  <si>
    <t xml:space="preserve">Optimistic</t>
  </si>
  <si>
    <t xml:space="preserve">25%</t>
  </si>
  <si>
    <t xml:space="preserve">~122M checks/year</t>
  </si>
  <si>
    <t xml:space="preserve">Check volume estimate: Sponsor anchor barn transacts ~16,000 buyer/seller checks/year on $105M sales = ~152 checks per $1M of livestock volume. Applied to SOM $ volume for each scenario.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</si>
</sst>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70C0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5" min="3" style="1" width="22"/>
    <col collapsed="false" customWidth="true" hidden="false" outlineLevel="0" max="6" min="6" style="1" width="2"/>
  </cols>
  <sheetData>
    <row r="2" customFormat="false" ht="36" hidden="false" customHeight="true" outlineLevel="0" collapsed="false">
      <c r="B2" s="2" t="s">
        <v>0</v>
      </c>
      <c r="C2" s="2"/>
      <c r="D2" s="2"/>
      <c r="E2" s="2"/>
    </row>
    <row r="3" customFormat="false" ht="21.75" hidden="false" customHeight="true" outlineLevel="0" collapsed="false">
      <c r="B3" s="3" t="s">
        <v>1</v>
      </c>
      <c r="C3" s="3"/>
      <c r="D3" s="3"/>
      <c r="E3" s="3"/>
    </row>
    <row r="4" customFormat="false" ht="18" hidden="false" customHeight="true" outlineLevel="0" collapsed="false">
      <c r="B4" s="4" t="s">
        <v>2</v>
      </c>
      <c r="C4" s="4"/>
      <c r="D4" s="4"/>
      <c r="E4" s="4"/>
    </row>
    <row r="5" customFormat="false" ht="9.75" hidden="false" customHeight="true" outlineLevel="0" collapsed="false"/>
    <row r="6" customFormat="false" ht="19.5" hidden="false" customHeight="true" outlineLevel="0" collapsed="false">
      <c r="B6" s="5" t="s">
        <v>3</v>
      </c>
      <c r="C6" s="5"/>
      <c r="D6" s="5"/>
      <c r="E6" s="5"/>
    </row>
    <row r="7" customFormat="false" ht="18" hidden="false" customHeight="true" outlineLevel="0" collapsed="false">
      <c r="B7" s="6" t="s">
        <v>4</v>
      </c>
      <c r="C7" s="7" t="s">
        <v>5</v>
      </c>
      <c r="D7" s="8" t="s">
        <v>6</v>
      </c>
      <c r="E7" s="8"/>
    </row>
    <row r="8" customFormat="false" ht="18" hidden="false" customHeight="true" outlineLevel="0" collapsed="false">
      <c r="B8" s="9" t="s">
        <v>7</v>
      </c>
      <c r="C8" s="10" t="s">
        <v>8</v>
      </c>
      <c r="D8" s="11" t="s">
        <v>9</v>
      </c>
      <c r="E8" s="11"/>
    </row>
    <row r="9" customFormat="false" ht="18" hidden="false" customHeight="true" outlineLevel="0" collapsed="false">
      <c r="B9" s="6" t="s">
        <v>10</v>
      </c>
      <c r="C9" s="7" t="s">
        <v>11</v>
      </c>
      <c r="D9" s="8" t="s">
        <v>12</v>
      </c>
      <c r="E9" s="8"/>
    </row>
    <row r="10" customFormat="false" ht="18" hidden="false" customHeight="true" outlineLevel="0" collapsed="false">
      <c r="B10" s="9" t="s">
        <v>13</v>
      </c>
      <c r="C10" s="10" t="s">
        <v>14</v>
      </c>
      <c r="D10" s="11" t="s">
        <v>15</v>
      </c>
      <c r="E10" s="11"/>
    </row>
    <row r="11" customFormat="false" ht="18" hidden="false" customHeight="true" outlineLevel="0" collapsed="false">
      <c r="B11" s="6" t="s">
        <v>16</v>
      </c>
      <c r="C11" s="7" t="s">
        <v>17</v>
      </c>
      <c r="D11" s="8" t="s">
        <v>18</v>
      </c>
      <c r="E11" s="8"/>
    </row>
    <row r="12" customFormat="false" ht="18" hidden="false" customHeight="true" outlineLevel="0" collapsed="false">
      <c r="B12" s="9" t="s">
        <v>19</v>
      </c>
      <c r="C12" s="10" t="s">
        <v>20</v>
      </c>
      <c r="D12" s="11" t="s">
        <v>21</v>
      </c>
      <c r="E12" s="11"/>
    </row>
    <row r="13" customFormat="false" ht="18" hidden="false" customHeight="true" outlineLevel="0" collapsed="false">
      <c r="B13" s="6" t="s">
        <v>22</v>
      </c>
      <c r="C13" s="7" t="s">
        <v>23</v>
      </c>
      <c r="D13" s="8" t="s">
        <v>24</v>
      </c>
      <c r="E13" s="8"/>
    </row>
    <row r="14" customFormat="false" ht="18" hidden="false" customHeight="true" outlineLevel="0" collapsed="false">
      <c r="B14" s="9" t="s">
        <v>25</v>
      </c>
      <c r="C14" s="10" t="s">
        <v>26</v>
      </c>
      <c r="D14" s="11" t="s">
        <v>27</v>
      </c>
      <c r="E14" s="11"/>
    </row>
    <row r="15" customFormat="false" ht="9.75" hidden="false" customHeight="true" outlineLevel="0" collapsed="false"/>
    <row r="16" customFormat="false" ht="19.5" hidden="false" customHeight="true" outlineLevel="0" collapsed="false">
      <c r="B16" s="5" t="s">
        <v>28</v>
      </c>
      <c r="C16" s="5"/>
      <c r="D16" s="5"/>
      <c r="E16" s="5"/>
    </row>
    <row r="17" customFormat="false" ht="18" hidden="false" customHeight="true" outlineLevel="0" collapsed="false">
      <c r="B17" s="12" t="s">
        <v>29</v>
      </c>
      <c r="C17" s="12" t="s">
        <v>30</v>
      </c>
      <c r="D17" s="12" t="s">
        <v>31</v>
      </c>
      <c r="E17" s="12" t="s">
        <v>32</v>
      </c>
    </row>
    <row r="18" customFormat="false" ht="30" hidden="false" customHeight="true" outlineLevel="0" collapsed="false">
      <c r="B18" s="13" t="s">
        <v>33</v>
      </c>
      <c r="C18" s="14" t="s">
        <v>34</v>
      </c>
      <c r="D18" s="15" t="s">
        <v>35</v>
      </c>
      <c r="E18" s="16" t="s">
        <v>36</v>
      </c>
    </row>
    <row r="19" customFormat="false" ht="30" hidden="false" customHeight="true" outlineLevel="0" collapsed="false">
      <c r="B19" s="17" t="s">
        <v>37</v>
      </c>
      <c r="C19" s="18" t="s">
        <v>38</v>
      </c>
      <c r="D19" s="19" t="s">
        <v>39</v>
      </c>
      <c r="E19" s="20" t="s">
        <v>40</v>
      </c>
    </row>
    <row r="20" customFormat="false" ht="30" hidden="false" customHeight="true" outlineLevel="0" collapsed="false">
      <c r="B20" s="21" t="s">
        <v>41</v>
      </c>
      <c r="C20" s="22" t="s">
        <v>42</v>
      </c>
      <c r="D20" s="23" t="s">
        <v>43</v>
      </c>
      <c r="E20" s="24" t="s">
        <v>44</v>
      </c>
    </row>
    <row r="21" customFormat="false" ht="30" hidden="false" customHeight="true" outlineLevel="0" collapsed="false">
      <c r="B21" s="21" t="s">
        <v>45</v>
      </c>
      <c r="C21" s="22" t="s">
        <v>46</v>
      </c>
      <c r="D21" s="23" t="s">
        <v>47</v>
      </c>
      <c r="E21" s="24" t="s">
        <v>48</v>
      </c>
    </row>
    <row r="22" customFormat="false" ht="30" hidden="false" customHeight="true" outlineLevel="0" collapsed="false">
      <c r="B22" s="21" t="s">
        <v>49</v>
      </c>
      <c r="C22" s="22" t="s">
        <v>50</v>
      </c>
      <c r="D22" s="23" t="s">
        <v>51</v>
      </c>
      <c r="E22" s="24" t="s">
        <v>52</v>
      </c>
    </row>
    <row r="23" customFormat="false" ht="9.75" hidden="false" customHeight="true" outlineLevel="0" collapsed="false"/>
    <row r="24" customFormat="false" ht="18" hidden="false" customHeight="true" outlineLevel="0" collapsed="false">
      <c r="B24" s="25" t="s">
        <v>53</v>
      </c>
      <c r="C24" s="25"/>
      <c r="D24" s="25"/>
      <c r="E24" s="25"/>
    </row>
  </sheetData>
  <mergeCells count="14">
    <mergeCell ref="B2:E2"/>
    <mergeCell ref="B3:E3"/>
    <mergeCell ref="B4:E4"/>
    <mergeCell ref="B6:E6"/>
    <mergeCell ref="D7:E7"/>
    <mergeCell ref="D8:E8"/>
    <mergeCell ref="D9:E9"/>
    <mergeCell ref="D10:E10"/>
    <mergeCell ref="D11:E11"/>
    <mergeCell ref="D12:E12"/>
    <mergeCell ref="D13:E13"/>
    <mergeCell ref="D14:E14"/>
    <mergeCell ref="B16:E16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5" min="4" style="1" width="12"/>
    <col collapsed="false" customWidth="true" hidden="false" outlineLevel="0" max="8" min="6" style="1" width="18"/>
    <col collapsed="false" customWidth="true" hidden="false" outlineLevel="0" max="9" min="9" style="1" width="2"/>
  </cols>
  <sheetData>
    <row r="2" customFormat="false" ht="30" hidden="false" customHeight="true" outlineLevel="0" collapsed="false">
      <c r="B2" s="26" t="s">
        <v>54</v>
      </c>
      <c r="C2" s="26"/>
      <c r="D2" s="26"/>
      <c r="E2" s="26"/>
      <c r="F2" s="26"/>
      <c r="G2" s="26"/>
      <c r="H2" s="26"/>
    </row>
    <row r="3" customFormat="false" ht="15.75" hidden="false" customHeight="true" outlineLevel="0" collapsed="false">
      <c r="B3" s="27" t="s">
        <v>55</v>
      </c>
      <c r="C3" s="27"/>
      <c r="D3" s="27"/>
      <c r="E3" s="27"/>
      <c r="F3" s="27"/>
      <c r="G3" s="27"/>
      <c r="H3" s="27"/>
    </row>
    <row r="4" customFormat="false" ht="7.5" hidden="false" customHeight="true" outlineLevel="0" collapsed="false"/>
    <row r="5" customFormat="false" ht="30" hidden="false" customHeight="true" outlineLevel="0" collapsed="false">
      <c r="B5" s="28" t="s">
        <v>56</v>
      </c>
      <c r="C5" s="28" t="s">
        <v>57</v>
      </c>
      <c r="D5" s="28" t="s">
        <v>58</v>
      </c>
      <c r="E5" s="28" t="s">
        <v>59</v>
      </c>
      <c r="F5" s="28" t="s">
        <v>60</v>
      </c>
      <c r="G5" s="28" t="s">
        <v>61</v>
      </c>
      <c r="H5" s="28" t="s">
        <v>62</v>
      </c>
      <c r="I5" s="28" t="s">
        <v>63</v>
      </c>
    </row>
    <row r="6" customFormat="false" ht="15.75" hidden="false" customHeight="true" outlineLevel="0" collapsed="false">
      <c r="B6" s="29" t="s">
        <v>64</v>
      </c>
      <c r="C6" s="29" t="s">
        <v>65</v>
      </c>
      <c r="D6" s="30" t="n">
        <v>55</v>
      </c>
      <c r="E6" s="31" t="s">
        <v>66</v>
      </c>
      <c r="F6" s="30" t="n">
        <v>2912</v>
      </c>
      <c r="G6" s="32" t="n">
        <v>1897</v>
      </c>
      <c r="H6" s="30" t="n">
        <v>151445</v>
      </c>
      <c r="I6" s="32" t="n">
        <v>287252924</v>
      </c>
    </row>
    <row r="7" customFormat="false" ht="15.75" hidden="false" customHeight="true" outlineLevel="0" collapsed="false">
      <c r="B7" s="29" t="s">
        <v>67</v>
      </c>
      <c r="C7" s="29" t="s">
        <v>65</v>
      </c>
      <c r="D7" s="30" t="n">
        <v>27</v>
      </c>
      <c r="E7" s="31" t="s">
        <v>68</v>
      </c>
      <c r="F7" s="30" t="n">
        <v>1487</v>
      </c>
      <c r="G7" s="32" t="n">
        <v>2063</v>
      </c>
      <c r="H7" s="30" t="n">
        <v>77307</v>
      </c>
      <c r="I7" s="32" t="n">
        <v>159502980</v>
      </c>
    </row>
    <row r="8" customFormat="false" ht="15.75" hidden="false" customHeight="true" outlineLevel="0" collapsed="false">
      <c r="B8" s="29" t="s">
        <v>69</v>
      </c>
      <c r="C8" s="29" t="s">
        <v>65</v>
      </c>
      <c r="D8" s="30" t="n">
        <v>5</v>
      </c>
      <c r="E8" s="31" t="s">
        <v>68</v>
      </c>
      <c r="F8" s="30" t="n">
        <v>1205</v>
      </c>
      <c r="G8" s="32" t="n">
        <v>2346</v>
      </c>
      <c r="H8" s="30" t="n">
        <v>62639</v>
      </c>
      <c r="I8" s="32" t="n">
        <v>146928074</v>
      </c>
    </row>
    <row r="9" customFormat="false" ht="15.75" hidden="false" customHeight="true" outlineLevel="0" collapsed="false">
      <c r="B9" s="33" t="s">
        <v>70</v>
      </c>
      <c r="C9" s="33" t="s">
        <v>71</v>
      </c>
      <c r="D9" s="34" t="n">
        <v>44</v>
      </c>
      <c r="E9" s="35" t="s">
        <v>72</v>
      </c>
      <c r="F9" s="34" t="n">
        <v>1297</v>
      </c>
      <c r="G9" s="36" t="n">
        <v>1406</v>
      </c>
      <c r="H9" s="34" t="n">
        <v>67432</v>
      </c>
      <c r="I9" s="36" t="n">
        <v>94826506</v>
      </c>
    </row>
    <row r="10" customFormat="false" ht="15.75" hidden="false" customHeight="true" outlineLevel="0" collapsed="false">
      <c r="B10" s="29" t="s">
        <v>73</v>
      </c>
      <c r="C10" s="29" t="s">
        <v>65</v>
      </c>
      <c r="D10" s="30" t="n">
        <v>55</v>
      </c>
      <c r="E10" s="31" t="s">
        <v>66</v>
      </c>
      <c r="F10" s="30" t="n">
        <v>988</v>
      </c>
      <c r="G10" s="32" t="n">
        <v>1699</v>
      </c>
      <c r="H10" s="30" t="n">
        <v>51350</v>
      </c>
      <c r="I10" s="32" t="n">
        <v>87231616</v>
      </c>
    </row>
    <row r="11" customFormat="false" ht="15.75" hidden="false" customHeight="true" outlineLevel="0" collapsed="false">
      <c r="B11" s="37" t="s">
        <v>74</v>
      </c>
      <c r="C11" s="37" t="s">
        <v>75</v>
      </c>
      <c r="D11" s="38" t="n">
        <v>55</v>
      </c>
      <c r="E11" s="39" t="s">
        <v>68</v>
      </c>
      <c r="F11" s="38" t="n">
        <v>937</v>
      </c>
      <c r="G11" s="40" t="n">
        <v>1654</v>
      </c>
      <c r="H11" s="38" t="n">
        <v>48726</v>
      </c>
      <c r="I11" s="40" t="n">
        <v>80580442</v>
      </c>
    </row>
    <row r="12" customFormat="false" ht="15.75" hidden="false" customHeight="true" outlineLevel="0" collapsed="false">
      <c r="B12" s="33" t="s">
        <v>76</v>
      </c>
      <c r="C12" s="33" t="s">
        <v>71</v>
      </c>
      <c r="D12" s="34" t="n">
        <v>48</v>
      </c>
      <c r="E12" s="35" t="s">
        <v>68</v>
      </c>
      <c r="F12" s="34" t="n">
        <v>892</v>
      </c>
      <c r="G12" s="36" t="n">
        <v>1569</v>
      </c>
      <c r="H12" s="34" t="n">
        <v>46386</v>
      </c>
      <c r="I12" s="36" t="n">
        <v>72797290</v>
      </c>
    </row>
    <row r="13" customFormat="false" ht="15.75" hidden="false" customHeight="true" outlineLevel="0" collapsed="false">
      <c r="B13" s="29" t="s">
        <v>77</v>
      </c>
      <c r="C13" s="29" t="s">
        <v>65</v>
      </c>
      <c r="D13" s="30" t="n">
        <v>30</v>
      </c>
      <c r="E13" s="31" t="s">
        <v>72</v>
      </c>
      <c r="F13" s="30" t="n">
        <v>771</v>
      </c>
      <c r="G13" s="32" t="n">
        <v>1755</v>
      </c>
      <c r="H13" s="30" t="n">
        <v>40070</v>
      </c>
      <c r="I13" s="32" t="n">
        <v>70323697</v>
      </c>
    </row>
    <row r="14" customFormat="false" ht="15.75" hidden="false" customHeight="true" outlineLevel="0" collapsed="false">
      <c r="B14" s="29" t="s">
        <v>78</v>
      </c>
      <c r="C14" s="29" t="s">
        <v>65</v>
      </c>
      <c r="D14" s="30" t="n">
        <v>19</v>
      </c>
      <c r="E14" s="31" t="s">
        <v>68</v>
      </c>
      <c r="F14" s="30" t="n">
        <v>698</v>
      </c>
      <c r="G14" s="32" t="n">
        <v>1924</v>
      </c>
      <c r="H14" s="30" t="n">
        <v>36318</v>
      </c>
      <c r="I14" s="32" t="n">
        <v>69866550</v>
      </c>
    </row>
    <row r="15" customFormat="false" ht="15.75" hidden="false" customHeight="true" outlineLevel="0" collapsed="false">
      <c r="B15" s="29" t="s">
        <v>79</v>
      </c>
      <c r="C15" s="29" t="s">
        <v>65</v>
      </c>
      <c r="D15" s="30" t="n">
        <v>47</v>
      </c>
      <c r="E15" s="31" t="s">
        <v>66</v>
      </c>
      <c r="F15" s="30" t="n">
        <v>730</v>
      </c>
      <c r="G15" s="32" t="n">
        <v>1800</v>
      </c>
      <c r="H15" s="30" t="n">
        <v>37968</v>
      </c>
      <c r="I15" s="32" t="n">
        <v>68341940</v>
      </c>
    </row>
    <row r="16" customFormat="false" ht="15.75" hidden="false" customHeight="true" outlineLevel="0" collapsed="false">
      <c r="B16" s="41" t="s">
        <v>80</v>
      </c>
      <c r="C16" s="41" t="s">
        <v>81</v>
      </c>
      <c r="D16" s="42" t="n">
        <v>11</v>
      </c>
      <c r="E16" s="43" t="s">
        <v>82</v>
      </c>
      <c r="F16" s="42" t="n">
        <v>2158</v>
      </c>
      <c r="G16" s="44" t="n">
        <v>477</v>
      </c>
      <c r="H16" s="42" t="n">
        <v>112221</v>
      </c>
      <c r="I16" s="44" t="n">
        <v>53529287</v>
      </c>
    </row>
    <row r="17" customFormat="false" ht="15.75" hidden="false" customHeight="true" outlineLevel="0" collapsed="false">
      <c r="B17" s="41" t="s">
        <v>83</v>
      </c>
      <c r="C17" s="41" t="s">
        <v>81</v>
      </c>
      <c r="D17" s="42" t="n">
        <v>6</v>
      </c>
      <c r="E17" s="43" t="s">
        <v>82</v>
      </c>
      <c r="F17" s="42" t="n">
        <v>1833</v>
      </c>
      <c r="G17" s="44" t="n">
        <v>513</v>
      </c>
      <c r="H17" s="42" t="n">
        <v>95290</v>
      </c>
      <c r="I17" s="44" t="n">
        <v>48883770</v>
      </c>
    </row>
    <row r="18" customFormat="false" ht="15.75" hidden="false" customHeight="true" outlineLevel="0" collapsed="false">
      <c r="B18" s="29" t="s">
        <v>84</v>
      </c>
      <c r="C18" s="29" t="s">
        <v>65</v>
      </c>
      <c r="D18" s="30" t="n">
        <v>22</v>
      </c>
      <c r="E18" s="31" t="s">
        <v>68</v>
      </c>
      <c r="F18" s="30" t="n">
        <v>457</v>
      </c>
      <c r="G18" s="32" t="n">
        <v>1934</v>
      </c>
      <c r="H18" s="30" t="n">
        <v>23743</v>
      </c>
      <c r="I18" s="32" t="n">
        <v>45915467</v>
      </c>
    </row>
    <row r="19" customFormat="false" ht="15.75" hidden="false" customHeight="true" outlineLevel="0" collapsed="false">
      <c r="B19" s="29" t="s">
        <v>85</v>
      </c>
      <c r="C19" s="29" t="s">
        <v>65</v>
      </c>
      <c r="D19" s="30" t="n">
        <v>17</v>
      </c>
      <c r="E19" s="31" t="s">
        <v>68</v>
      </c>
      <c r="F19" s="30" t="n">
        <v>455</v>
      </c>
      <c r="G19" s="32" t="n">
        <v>1924</v>
      </c>
      <c r="H19" s="30" t="n">
        <v>23681</v>
      </c>
      <c r="I19" s="32" t="n">
        <v>45557116</v>
      </c>
    </row>
    <row r="20" customFormat="false" ht="15.75" hidden="false" customHeight="true" outlineLevel="0" collapsed="false">
      <c r="B20" s="33" t="s">
        <v>86</v>
      </c>
      <c r="C20" s="33" t="s">
        <v>71</v>
      </c>
      <c r="D20" s="34" t="n">
        <v>22</v>
      </c>
      <c r="E20" s="35" t="s">
        <v>68</v>
      </c>
      <c r="F20" s="34" t="n">
        <v>548</v>
      </c>
      <c r="G20" s="36" t="n">
        <v>1598</v>
      </c>
      <c r="H20" s="34" t="n">
        <v>28513</v>
      </c>
      <c r="I20" s="36" t="n">
        <v>45548791</v>
      </c>
    </row>
    <row r="21" customFormat="false" ht="15.75" hidden="false" customHeight="true" outlineLevel="0" collapsed="false">
      <c r="B21" s="41" t="s">
        <v>87</v>
      </c>
      <c r="C21" s="41" t="s">
        <v>81</v>
      </c>
      <c r="D21" s="42" t="n">
        <v>7</v>
      </c>
      <c r="E21" s="43" t="s">
        <v>82</v>
      </c>
      <c r="F21" s="42" t="n">
        <v>1480</v>
      </c>
      <c r="G21" s="44" t="n">
        <v>546</v>
      </c>
      <c r="H21" s="42" t="n">
        <v>76975</v>
      </c>
      <c r="I21" s="44" t="n">
        <v>42047516</v>
      </c>
    </row>
    <row r="22" customFormat="false" ht="15.75" hidden="false" customHeight="true" outlineLevel="0" collapsed="false">
      <c r="B22" s="29" t="s">
        <v>88</v>
      </c>
      <c r="C22" s="29" t="s">
        <v>65</v>
      </c>
      <c r="D22" s="30" t="n">
        <v>23</v>
      </c>
      <c r="E22" s="31" t="s">
        <v>68</v>
      </c>
      <c r="F22" s="30" t="n">
        <v>419</v>
      </c>
      <c r="G22" s="32" t="n">
        <v>1879</v>
      </c>
      <c r="H22" s="30" t="n">
        <v>21779</v>
      </c>
      <c r="I22" s="32" t="n">
        <v>40917215</v>
      </c>
    </row>
    <row r="23" customFormat="false" ht="15.75" hidden="false" customHeight="true" outlineLevel="0" collapsed="false">
      <c r="B23" s="29" t="s">
        <v>89</v>
      </c>
      <c r="C23" s="29" t="s">
        <v>65</v>
      </c>
      <c r="D23" s="30" t="n">
        <v>47</v>
      </c>
      <c r="E23" s="31" t="s">
        <v>82</v>
      </c>
      <c r="F23" s="30" t="n">
        <v>1360</v>
      </c>
      <c r="G23" s="32" t="n">
        <v>421</v>
      </c>
      <c r="H23" s="30" t="n">
        <v>70712</v>
      </c>
      <c r="I23" s="32" t="n">
        <v>29752181</v>
      </c>
    </row>
    <row r="24" customFormat="false" ht="15.75" hidden="false" customHeight="true" outlineLevel="0" collapsed="false">
      <c r="B24" s="29" t="s">
        <v>90</v>
      </c>
      <c r="C24" s="29" t="s">
        <v>65</v>
      </c>
      <c r="D24" s="30" t="n">
        <v>47</v>
      </c>
      <c r="E24" s="31" t="s">
        <v>82</v>
      </c>
      <c r="F24" s="30" t="n">
        <v>1014</v>
      </c>
      <c r="G24" s="32" t="n">
        <v>435</v>
      </c>
      <c r="H24" s="30" t="n">
        <v>52722</v>
      </c>
      <c r="I24" s="32" t="n">
        <v>22934274</v>
      </c>
    </row>
    <row r="25" customFormat="false" ht="15.75" hidden="false" customHeight="true" outlineLevel="0" collapsed="false">
      <c r="B25" s="41" t="s">
        <v>91</v>
      </c>
      <c r="C25" s="41" t="s">
        <v>81</v>
      </c>
      <c r="D25" s="42" t="n">
        <v>9</v>
      </c>
      <c r="E25" s="43" t="s">
        <v>82</v>
      </c>
      <c r="F25" s="42" t="n">
        <v>776</v>
      </c>
      <c r="G25" s="44" t="n">
        <v>538</v>
      </c>
      <c r="H25" s="42" t="n">
        <v>40346</v>
      </c>
      <c r="I25" s="44" t="n">
        <v>21686094</v>
      </c>
    </row>
    <row r="26" customFormat="false" ht="15.75" hidden="false" customHeight="true" outlineLevel="0" collapsed="false">
      <c r="B26" s="29" t="s">
        <v>92</v>
      </c>
      <c r="C26" s="29" t="s">
        <v>65</v>
      </c>
      <c r="D26" s="30" t="n">
        <v>55</v>
      </c>
      <c r="E26" s="31" t="s">
        <v>82</v>
      </c>
      <c r="F26" s="30" t="n">
        <v>988</v>
      </c>
      <c r="G26" s="32" t="n">
        <v>378</v>
      </c>
      <c r="H26" s="30" t="n">
        <v>51350</v>
      </c>
      <c r="I26" s="32" t="n">
        <v>19384803</v>
      </c>
    </row>
    <row r="27" customFormat="false" ht="15.75" hidden="false" customHeight="true" outlineLevel="0" collapsed="false">
      <c r="B27" s="29" t="s">
        <v>93</v>
      </c>
      <c r="C27" s="29" t="s">
        <v>65</v>
      </c>
      <c r="D27" s="30" t="n">
        <v>54</v>
      </c>
      <c r="E27" s="31" t="s">
        <v>82</v>
      </c>
      <c r="F27" s="30" t="n">
        <v>924</v>
      </c>
      <c r="G27" s="32" t="n">
        <v>393</v>
      </c>
      <c r="H27" s="30" t="n">
        <v>48035</v>
      </c>
      <c r="I27" s="32" t="n">
        <v>18877566</v>
      </c>
    </row>
    <row r="28" customFormat="false" ht="15.75" hidden="false" customHeight="true" outlineLevel="0" collapsed="false">
      <c r="B28" s="29" t="s">
        <v>94</v>
      </c>
      <c r="C28" s="29" t="s">
        <v>65</v>
      </c>
      <c r="D28" s="30" t="n">
        <v>30</v>
      </c>
      <c r="E28" s="31" t="s">
        <v>82</v>
      </c>
      <c r="F28" s="30" t="n">
        <v>794</v>
      </c>
      <c r="G28" s="32" t="n">
        <v>430</v>
      </c>
      <c r="H28" s="30" t="n">
        <v>41295</v>
      </c>
      <c r="I28" s="32" t="n">
        <v>17736174</v>
      </c>
    </row>
    <row r="29" customFormat="false" ht="15.75" hidden="false" customHeight="true" outlineLevel="0" collapsed="false">
      <c r="B29" s="29" t="s">
        <v>95</v>
      </c>
      <c r="C29" s="29" t="s">
        <v>65</v>
      </c>
      <c r="D29" s="30" t="n">
        <v>14</v>
      </c>
      <c r="E29" s="31" t="s">
        <v>66</v>
      </c>
      <c r="F29" s="30" t="n">
        <v>233</v>
      </c>
      <c r="G29" s="32" t="n">
        <v>1398</v>
      </c>
      <c r="H29" s="30" t="n">
        <v>12101</v>
      </c>
      <c r="I29" s="32" t="n">
        <v>16921936</v>
      </c>
    </row>
    <row r="30" customFormat="false" ht="15.75" hidden="false" customHeight="true" outlineLevel="0" collapsed="false">
      <c r="B30" s="29" t="s">
        <v>96</v>
      </c>
      <c r="C30" s="29" t="s">
        <v>65</v>
      </c>
      <c r="D30" s="30" t="n">
        <v>54</v>
      </c>
      <c r="E30" s="31" t="s">
        <v>82</v>
      </c>
      <c r="F30" s="30" t="n">
        <v>717</v>
      </c>
      <c r="G30" s="32" t="n">
        <v>423</v>
      </c>
      <c r="H30" s="30" t="n">
        <v>37299</v>
      </c>
      <c r="I30" s="32" t="n">
        <v>15758708</v>
      </c>
    </row>
    <row r="31" customFormat="false" ht="15.75" hidden="false" customHeight="true" outlineLevel="0" collapsed="false">
      <c r="B31" s="29" t="s">
        <v>97</v>
      </c>
      <c r="C31" s="29" t="s">
        <v>65</v>
      </c>
      <c r="D31" s="30" t="n">
        <v>13</v>
      </c>
      <c r="E31" s="31" t="s">
        <v>82</v>
      </c>
      <c r="F31" s="30" t="n">
        <v>225</v>
      </c>
      <c r="G31" s="32" t="n">
        <v>479</v>
      </c>
      <c r="H31" s="30" t="n">
        <v>11688</v>
      </c>
      <c r="I31" s="32" t="n">
        <v>5595630</v>
      </c>
    </row>
    <row r="32" customFormat="false" ht="18" hidden="false" customHeight="true" outlineLevel="0" collapsed="false">
      <c r="B32" s="45" t="s">
        <v>98</v>
      </c>
      <c r="C32" s="46"/>
      <c r="D32" s="46"/>
      <c r="E32" s="46"/>
      <c r="F32" s="46"/>
      <c r="G32" s="46"/>
      <c r="H32" s="46"/>
      <c r="I32" s="47" t="n">
        <v>1628698547</v>
      </c>
    </row>
    <row r="34" customFormat="false" ht="18" hidden="false" customHeight="true" outlineLevel="0" collapsed="false">
      <c r="B34" s="48" t="s">
        <v>99</v>
      </c>
      <c r="C34" s="48"/>
      <c r="D34" s="48"/>
      <c r="E34" s="48"/>
      <c r="F34" s="48"/>
      <c r="G34" s="48"/>
      <c r="H34" s="48"/>
    </row>
    <row r="35" customFormat="false" ht="15.75" hidden="false" customHeight="true" outlineLevel="0" collapsed="false">
      <c r="B35" s="49" t="s">
        <v>81</v>
      </c>
      <c r="C35" s="49"/>
      <c r="D35" s="50" t="s">
        <v>100</v>
      </c>
      <c r="E35" s="50"/>
      <c r="F35" s="50"/>
      <c r="G35" s="50"/>
      <c r="H35" s="50"/>
    </row>
    <row r="36" customFormat="false" ht="15.75" hidden="false" customHeight="true" outlineLevel="0" collapsed="false">
      <c r="B36" s="51" t="s">
        <v>65</v>
      </c>
      <c r="C36" s="51"/>
      <c r="D36" s="52" t="s">
        <v>101</v>
      </c>
      <c r="E36" s="52"/>
      <c r="F36" s="52"/>
      <c r="G36" s="52"/>
      <c r="H36" s="52"/>
    </row>
    <row r="37" customFormat="false" ht="15.75" hidden="false" customHeight="true" outlineLevel="0" collapsed="false">
      <c r="B37" s="53" t="s">
        <v>75</v>
      </c>
      <c r="C37" s="53"/>
      <c r="D37" s="54" t="s">
        <v>102</v>
      </c>
      <c r="E37" s="54"/>
      <c r="F37" s="54"/>
      <c r="G37" s="54"/>
      <c r="H37" s="54"/>
    </row>
    <row r="38" customFormat="false" ht="15.75" hidden="false" customHeight="true" outlineLevel="0" collapsed="false">
      <c r="B38" s="55" t="s">
        <v>71</v>
      </c>
      <c r="C38" s="55"/>
      <c r="D38" s="56" t="s">
        <v>103</v>
      </c>
      <c r="E38" s="56"/>
      <c r="F38" s="56"/>
      <c r="G38" s="56"/>
      <c r="H38" s="56"/>
    </row>
  </sheetData>
  <mergeCells count="11">
    <mergeCell ref="B2:H2"/>
    <mergeCell ref="B3:H3"/>
    <mergeCell ref="B34:H34"/>
    <mergeCell ref="B35:C35"/>
    <mergeCell ref="D35:H35"/>
    <mergeCell ref="B36:C36"/>
    <mergeCell ref="D36:H36"/>
    <mergeCell ref="B37:C37"/>
    <mergeCell ref="D37:H37"/>
    <mergeCell ref="B38:C38"/>
    <mergeCell ref="D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6" min="3" style="1" width="20"/>
    <col collapsed="false" customWidth="true" hidden="false" outlineLevel="0" max="7" min="7" style="1" width="2"/>
  </cols>
  <sheetData>
    <row r="2" customFormat="false" ht="30" hidden="false" customHeight="true" outlineLevel="0" collapsed="false">
      <c r="B2" s="26" t="s">
        <v>104</v>
      </c>
      <c r="C2" s="26"/>
      <c r="D2" s="26"/>
      <c r="E2" s="26"/>
      <c r="F2" s="26"/>
    </row>
    <row r="4" customFormat="false" ht="19.5" hidden="false" customHeight="true" outlineLevel="0" collapsed="false">
      <c r="B4" s="57" t="s">
        <v>105</v>
      </c>
      <c r="C4" s="57"/>
      <c r="D4" s="57"/>
      <c r="E4" s="57"/>
      <c r="F4" s="57"/>
    </row>
    <row r="5" customFormat="false" ht="19.5" hidden="false" customHeight="true" outlineLevel="0" collapsed="false">
      <c r="B5" s="28" t="s">
        <v>106</v>
      </c>
      <c r="C5" s="28" t="s">
        <v>107</v>
      </c>
      <c r="D5" s="28" t="s">
        <v>108</v>
      </c>
      <c r="E5" s="28" t="s">
        <v>109</v>
      </c>
      <c r="F5" s="28" t="s">
        <v>110</v>
      </c>
    </row>
    <row r="6" customFormat="false" ht="15.75" hidden="false" customHeight="true" outlineLevel="0" collapsed="false">
      <c r="B6" s="58" t="s">
        <v>111</v>
      </c>
      <c r="C6" s="59" t="n">
        <v>26</v>
      </c>
      <c r="D6" s="59" t="s">
        <v>112</v>
      </c>
      <c r="E6" s="58" t="s">
        <v>113</v>
      </c>
      <c r="F6" s="58" t="s">
        <v>114</v>
      </c>
    </row>
    <row r="7" customFormat="false" ht="15.75" hidden="false" customHeight="true" outlineLevel="0" collapsed="false">
      <c r="B7" s="60" t="s">
        <v>115</v>
      </c>
      <c r="C7" s="61" t="s">
        <v>116</v>
      </c>
      <c r="D7" s="61" t="s">
        <v>117</v>
      </c>
      <c r="E7" s="60" t="s">
        <v>118</v>
      </c>
      <c r="F7" s="60" t="s">
        <v>119</v>
      </c>
    </row>
    <row r="8" customFormat="false" ht="15.75" hidden="false" customHeight="true" outlineLevel="0" collapsed="false">
      <c r="B8" s="58" t="s">
        <v>120</v>
      </c>
      <c r="C8" s="59" t="n">
        <v>180</v>
      </c>
      <c r="D8" s="59" t="s">
        <v>112</v>
      </c>
      <c r="E8" s="58" t="s">
        <v>121</v>
      </c>
      <c r="F8" s="58" t="s">
        <v>122</v>
      </c>
    </row>
    <row r="9" customFormat="false" ht="15.75" hidden="false" customHeight="true" outlineLevel="0" collapsed="false">
      <c r="B9" s="60" t="s">
        <v>123</v>
      </c>
      <c r="C9" s="61" t="n">
        <v>154</v>
      </c>
      <c r="D9" s="61" t="s">
        <v>112</v>
      </c>
      <c r="E9" s="60" t="n">
        <f aca="false">180-26</f>
        <v>154</v>
      </c>
      <c r="F9" s="60" t="s">
        <v>124</v>
      </c>
    </row>
    <row r="10" customFormat="false" ht="15.75" hidden="false" customHeight="true" outlineLevel="0" collapsed="false">
      <c r="B10" s="58" t="s">
        <v>125</v>
      </c>
      <c r="C10" s="59" t="s">
        <v>23</v>
      </c>
      <c r="D10" s="59" t="s">
        <v>117</v>
      </c>
      <c r="E10" s="58" t="s">
        <v>118</v>
      </c>
      <c r="F10" s="58" t="s">
        <v>126</v>
      </c>
    </row>
    <row r="11" customFormat="false" ht="15.75" hidden="false" customHeight="true" outlineLevel="0" collapsed="false">
      <c r="B11" s="60" t="s">
        <v>127</v>
      </c>
      <c r="C11" s="61" t="s">
        <v>128</v>
      </c>
      <c r="D11" s="61" t="s">
        <v>129</v>
      </c>
      <c r="E11" s="60" t="s">
        <v>121</v>
      </c>
      <c r="F11" s="60" t="s">
        <v>130</v>
      </c>
    </row>
    <row r="12" customFormat="false" ht="15.75" hidden="false" customHeight="true" outlineLevel="0" collapsed="false">
      <c r="B12" s="58" t="s">
        <v>131</v>
      </c>
      <c r="C12" s="59" t="s">
        <v>132</v>
      </c>
      <c r="D12" s="59" t="s">
        <v>117</v>
      </c>
      <c r="E12" s="58" t="s">
        <v>133</v>
      </c>
      <c r="F12" s="58" t="s">
        <v>134</v>
      </c>
    </row>
    <row r="13" customFormat="false" ht="19.5" hidden="false" customHeight="true" outlineLevel="0" collapsed="false">
      <c r="B13" s="62" t="s">
        <v>135</v>
      </c>
      <c r="C13" s="63" t="s">
        <v>34</v>
      </c>
      <c r="D13" s="64" t="s">
        <v>117</v>
      </c>
      <c r="E13" s="62" t="s">
        <v>136</v>
      </c>
      <c r="F13" s="62" t="s">
        <v>137</v>
      </c>
    </row>
    <row r="15" customFormat="false" ht="19.5" hidden="false" customHeight="true" outlineLevel="0" collapsed="false">
      <c r="B15" s="57" t="s">
        <v>138</v>
      </c>
      <c r="C15" s="57"/>
      <c r="D15" s="57"/>
      <c r="E15" s="57"/>
      <c r="F15" s="57"/>
    </row>
    <row r="16" customFormat="false" ht="19.5" hidden="false" customHeight="true" outlineLevel="0" collapsed="false">
      <c r="B16" s="28" t="s">
        <v>106</v>
      </c>
      <c r="C16" s="28" t="s">
        <v>107</v>
      </c>
      <c r="D16" s="28" t="s">
        <v>108</v>
      </c>
      <c r="E16" s="28" t="s">
        <v>109</v>
      </c>
      <c r="F16" s="28" t="s">
        <v>110</v>
      </c>
    </row>
    <row r="17" customFormat="false" ht="15.75" hidden="false" customHeight="true" outlineLevel="0" collapsed="false">
      <c r="B17" s="65" t="s">
        <v>139</v>
      </c>
      <c r="C17" s="66" t="s">
        <v>140</v>
      </c>
      <c r="D17" s="66" t="s">
        <v>112</v>
      </c>
      <c r="E17" s="65" t="s">
        <v>121</v>
      </c>
      <c r="F17" s="65" t="s">
        <v>141</v>
      </c>
    </row>
    <row r="18" customFormat="false" ht="15.75" hidden="false" customHeight="true" outlineLevel="0" collapsed="false">
      <c r="B18" s="67" t="s">
        <v>22</v>
      </c>
      <c r="C18" s="68" t="s">
        <v>23</v>
      </c>
      <c r="D18" s="68" t="s">
        <v>117</v>
      </c>
      <c r="E18" s="67" t="s">
        <v>142</v>
      </c>
      <c r="F18" s="67" t="s">
        <v>143</v>
      </c>
    </row>
    <row r="19" customFormat="false" ht="15.75" hidden="false" customHeight="true" outlineLevel="0" collapsed="false">
      <c r="B19" s="65" t="s">
        <v>144</v>
      </c>
      <c r="C19" s="66" t="s">
        <v>145</v>
      </c>
      <c r="D19" s="66" t="s">
        <v>117</v>
      </c>
      <c r="E19" s="65" t="s">
        <v>146</v>
      </c>
      <c r="F19" s="65" t="s">
        <v>147</v>
      </c>
    </row>
    <row r="20" customFormat="false" ht="15.75" hidden="false" customHeight="true" outlineLevel="0" collapsed="false">
      <c r="B20" s="67" t="s">
        <v>148</v>
      </c>
      <c r="C20" s="68" t="s">
        <v>149</v>
      </c>
      <c r="D20" s="68" t="s">
        <v>117</v>
      </c>
      <c r="E20" s="67" t="s">
        <v>150</v>
      </c>
      <c r="F20" s="67" t="s">
        <v>151</v>
      </c>
    </row>
    <row r="21" customFormat="false" ht="15.75" hidden="false" customHeight="true" outlineLevel="0" collapsed="false">
      <c r="B21" s="69" t="s">
        <v>152</v>
      </c>
      <c r="C21" s="70" t="s">
        <v>153</v>
      </c>
      <c r="D21" s="70" t="s">
        <v>117</v>
      </c>
      <c r="E21" s="69" t="s">
        <v>154</v>
      </c>
      <c r="F21" s="69" t="s">
        <v>155</v>
      </c>
    </row>
    <row r="23" customFormat="false" ht="19.5" hidden="false" customHeight="true" outlineLevel="0" collapsed="false">
      <c r="B23" s="57" t="s">
        <v>156</v>
      </c>
      <c r="C23" s="57"/>
      <c r="D23" s="57"/>
      <c r="E23" s="57"/>
      <c r="F23" s="57"/>
    </row>
    <row r="24" customFormat="false" ht="24" hidden="false" customHeight="true" outlineLevel="0" collapsed="false">
      <c r="B24" s="28" t="s">
        <v>157</v>
      </c>
      <c r="C24" s="28" t="s">
        <v>158</v>
      </c>
      <c r="D24" s="28" t="s">
        <v>159</v>
      </c>
      <c r="E24" s="28" t="s">
        <v>160</v>
      </c>
      <c r="F24" s="28" t="s">
        <v>161</v>
      </c>
    </row>
    <row r="25" customFormat="false" ht="18" hidden="false" customHeight="true" outlineLevel="0" collapsed="false">
      <c r="B25" s="13" t="s">
        <v>162</v>
      </c>
      <c r="C25" s="15" t="s">
        <v>163</v>
      </c>
      <c r="D25" s="15" t="s">
        <v>43</v>
      </c>
      <c r="E25" s="15" t="s">
        <v>42</v>
      </c>
      <c r="F25" s="15" t="s">
        <v>164</v>
      </c>
    </row>
    <row r="26" customFormat="false" ht="18" hidden="false" customHeight="true" outlineLevel="0" collapsed="false">
      <c r="B26" s="71" t="s">
        <v>165</v>
      </c>
      <c r="C26" s="72" t="s">
        <v>166</v>
      </c>
      <c r="D26" s="72" t="s">
        <v>47</v>
      </c>
      <c r="E26" s="72" t="s">
        <v>46</v>
      </c>
      <c r="F26" s="72" t="s">
        <v>167</v>
      </c>
    </row>
    <row r="27" customFormat="false" ht="18" hidden="false" customHeight="true" outlineLevel="0" collapsed="false">
      <c r="B27" s="21" t="s">
        <v>168</v>
      </c>
      <c r="C27" s="23" t="s">
        <v>169</v>
      </c>
      <c r="D27" s="23" t="s">
        <v>51</v>
      </c>
      <c r="E27" s="23" t="s">
        <v>50</v>
      </c>
      <c r="F27" s="23" t="s">
        <v>170</v>
      </c>
    </row>
    <row r="29" customFormat="false" ht="30" hidden="false" customHeight="true" outlineLevel="0" collapsed="false">
      <c r="B29" s="25" t="s">
        <v>171</v>
      </c>
      <c r="C29" s="25"/>
      <c r="D29" s="25"/>
      <c r="E29" s="25"/>
      <c r="F29" s="25"/>
    </row>
  </sheetData>
  <mergeCells count="5">
    <mergeCell ref="B2:F2"/>
    <mergeCell ref="B4:F4"/>
    <mergeCell ref="B15:F15"/>
    <mergeCell ref="B23:F23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2026-03-27T08:49:21Z</dcterms:created>
  <dc:creator>openpyxl</dc:creator>
  <dc:description/>
  <dc:language>en-US</dc:language>
  <cp:lastModifiedBy/>
  <dcterms:modified xsi:type="dcterms:W3CDTF">2026-03-27T08:49:51Z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