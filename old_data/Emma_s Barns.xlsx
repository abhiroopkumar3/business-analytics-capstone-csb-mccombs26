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astal_barns_info" sheetId="1" r:id="rId5"/>
    <sheet state="hidden" name="chases_barn_info" sheetId="2" r:id="rId6"/>
    <sheet state="hidden" name="chases_barn_feb09" sheetId="3" r:id="rId7"/>
    <sheet state="visible" name="barns_info" sheetId="4" r:id="rId8"/>
    <sheet state="visible" name="decatur_weekly" sheetId="5" r:id="rId9"/>
    <sheet state="visible" name="decatur_detailed" sheetId="6" r:id="rId10"/>
    <sheet state="visible" name="east_texas_weekly" sheetId="7" r:id="rId11"/>
    <sheet state="visible" name="east_texas_detailed" sheetId="8" r:id="rId12"/>
    <sheet state="visible" name="edinburg_weekly" sheetId="9" r:id="rId13"/>
    <sheet state="visible" name="edinburg_detailed" sheetId="10" r:id="rId14"/>
    <sheet state="hidden" name="all_barns" sheetId="11" r:id="rId15"/>
    <sheet state="visible" name="live_oak_weekly" sheetId="12" r:id="rId16"/>
    <sheet state="visible" name="live_oak_detailed" sheetId="13" r:id="rId17"/>
    <sheet state="visible" name="brenham_26_weekly" sheetId="14" r:id="rId18"/>
    <sheet state="visible" name="brenham_26_detailed" sheetId="15" r:id="rId19"/>
    <sheet state="visible" name="cuero_26_weekly" sheetId="16" r:id="rId20"/>
    <sheet state="visible" name="cuero_26_detailed" sheetId="17" r:id="rId21"/>
    <sheet state="visible" name="four_26_weekly" sheetId="18" r:id="rId22"/>
    <sheet state="visible" name="four_26_detailed" sheetId="19" r:id="rId23"/>
    <sheet state="visible" name="campo_26_weekly" sheetId="20" r:id="rId24"/>
    <sheet state="visible" name="campo_26_detailed" sheetId="21" r:id="rId25"/>
    <sheet state="visible" name="columbus_26_weekly" sheetId="22" r:id="rId26"/>
    <sheet state="visible" name="columbus_26_detailed" sheetId="23" r:id="rId27"/>
    <sheet state="visible" name="wharton_detailed" sheetId="24" r:id="rId28"/>
  </sheets>
  <definedNames/>
  <calcPr/>
</workbook>
</file>

<file path=xl/sharedStrings.xml><?xml version="1.0" encoding="utf-8"?>
<sst xmlns="http://schemas.openxmlformats.org/spreadsheetml/2006/main" count="4837" uniqueCount="273">
  <si>
    <t>Auction Name</t>
  </si>
  <si>
    <t>Location</t>
  </si>
  <si>
    <t>Sale Day</t>
  </si>
  <si>
    <t>Sale Time</t>
  </si>
  <si>
    <t>Sale Frequency</t>
  </si>
  <si>
    <t>Est Annual Head</t>
  </si>
  <si>
    <t>Sample Weekly Head</t>
  </si>
  <si>
    <t>Sample Sellers</t>
  </si>
  <si>
    <t>Sample Buyers</t>
  </si>
  <si>
    <t>Avg Buyers</t>
  </si>
  <si>
    <t>Avg Calf Price</t>
  </si>
  <si>
    <t>Packer Bull Range</t>
  </si>
  <si>
    <t>Packer Cow Range</t>
  </si>
  <si>
    <t>Price Data Available</t>
  </si>
  <si>
    <t>Buyer Count Published</t>
  </si>
  <si>
    <t>Seller Count Published</t>
  </si>
  <si>
    <t>Payment Info Listed</t>
  </si>
  <si>
    <t>Digital / ACH Mention</t>
  </si>
  <si>
    <t>Est Weekly Gross Volume</t>
  </si>
  <si>
    <t>Est Annual Gross Volume</t>
  </si>
  <si>
    <t>Live Oak Livestock Auction</t>
  </si>
  <si>
    <t>South Texas</t>
  </si>
  <si>
    <t>Monday</t>
  </si>
  <si>
    <t>Not Listed</t>
  </si>
  <si>
    <t>Weekly</t>
  </si>
  <si>
    <t>70,000–90,000</t>
  </si>
  <si>
    <t>~65</t>
  </si>
  <si>
    <t>Limited</t>
  </si>
  <si>
    <t>Yes</t>
  </si>
  <si>
    <t>No</t>
  </si>
  <si>
    <t>~$3.6M</t>
  </si>
  <si>
    <t>~$187M</t>
  </si>
  <si>
    <t>Cuero Livestock Marketing, LLC</t>
  </si>
  <si>
    <t>Cuero, TX (DeWitt County)</t>
  </si>
  <si>
    <t>Friday</t>
  </si>
  <si>
    <t>Not Listed (Est ~75,000)*</t>
  </si>
  <si>
    <t>$1,456–$1,599</t>
  </si>
  <si>
    <t>$130–190/cwt</t>
  </si>
  <si>
    <t>$113–174/cwt</t>
  </si>
  <si>
    <t>~$2.7M</t>
  </si>
  <si>
    <t>~$135M</t>
  </si>
  <si>
    <t>Sellers/Consignors</t>
  </si>
  <si>
    <t>Buyers/Attendance</t>
  </si>
  <si>
    <t>Cattleman's Brenham Livestock Auction</t>
  </si>
  <si>
    <t>Brenham, TX</t>
  </si>
  <si>
    <t>12:00 PM (Noon)</t>
  </si>
  <si>
    <t>Not listed</t>
  </si>
  <si>
    <t>(varies by report)</t>
  </si>
  <si>
    <t>Varies (weekly PDFs available)</t>
  </si>
  <si>
    <t>Not listed online</t>
  </si>
  <si>
    <t>Yes (PDF weekly reports)</t>
  </si>
  <si>
    <r>
      <t>No (</t>
    </r>
    <r>
      <rPr>
        <color rgb="FF1155CC"/>
        <u/>
      </rPr>
      <t>Brenham Cattleman Auction</t>
    </r>
    <r>
      <rPr/>
      <t>)</t>
    </r>
  </si>
  <si>
    <t>Cattleman's Columbus Livestock Auction</t>
  </si>
  <si>
    <t>Columbus, TX</t>
  </si>
  <si>
    <t>Not explicitly listed on site</t>
  </si>
  <si>
    <t>Weekly reports page present</t>
  </si>
  <si>
    <r>
      <t>No (</t>
    </r>
    <r>
      <rPr>
        <color rgb="FF1155CC"/>
        <u/>
      </rPr>
      <t>Brenham Cattleman Auction</t>
    </r>
    <r>
      <rPr/>
      <t>)</t>
    </r>
  </si>
  <si>
    <t>Four County Auction Center, Inc.</t>
  </si>
  <si>
    <t>Bellville, TX</t>
  </si>
  <si>
    <t>Tuesday</t>
  </si>
  <si>
    <t>~700–800 head (sample from Jan)</t>
  </si>
  <si>
    <t>Report seconds vary</t>
  </si>
  <si>
    <r>
      <t>No (</t>
    </r>
    <r>
      <rPr>
        <color rgb="FF1155CC"/>
        <u/>
      </rPr>
      <t>Four County Auction Center</t>
    </r>
    <r>
      <rPr/>
      <t>)</t>
    </r>
  </si>
  <si>
    <t>El Campo Livestock Exchange LLC</t>
  </si>
  <si>
    <t>El Campo, TX</t>
  </si>
  <si>
    <t>Varies (weekly reports available)</t>
  </si>
  <si>
    <t>Yes (weekly web list)</t>
  </si>
  <si>
    <r>
      <t>No (</t>
    </r>
    <r>
      <rPr>
        <color rgb="FF1155CC"/>
        <u/>
      </rPr>
      <t>elcampolivestock.com</t>
    </r>
    <r>
      <rPr/>
      <t>)</t>
    </r>
  </si>
  <si>
    <t>Wharton Livestock Auction</t>
  </si>
  <si>
    <t>Wharton, TX</t>
  </si>
  <si>
    <t>Wednesday</t>
  </si>
  <si>
    <t>Varies (market reports)</t>
  </si>
  <si>
    <t>Yes (market report section)</t>
  </si>
  <si>
    <r>
      <t>No (</t>
    </r>
    <r>
      <rPr>
        <color rgb="FF1155CC"/>
        <u/>
      </rPr>
      <t>whartonlivestock.com</t>
    </r>
    <r>
      <rPr/>
      <t>)</t>
    </r>
  </si>
  <si>
    <t>Sale Date</t>
  </si>
  <si>
    <t>Weekly Head</t>
  </si>
  <si>
    <t>Tier</t>
  </si>
  <si>
    <t>Est Weekly Gross (Low $1,400)</t>
  </si>
  <si>
    <t>Est Weekly Gross (Mid $2,000)</t>
  </si>
  <si>
    <t>Est Weekly Gross (High $2,600)</t>
  </si>
  <si>
    <t>Est Annual Gross (Mid)</t>
  </si>
  <si>
    <t>2-Day Float Revenue (Mid)</t>
  </si>
  <si>
    <t>El Campo</t>
  </si>
  <si>
    <t>Large</t>
  </si>
  <si>
    <t>Columbus</t>
  </si>
  <si>
    <t>Mid</t>
  </si>
  <si>
    <t>Four County</t>
  </si>
  <si>
    <t>Industry, TX</t>
  </si>
  <si>
    <t>Brenham</t>
  </si>
  <si>
    <t>Wharton</t>
  </si>
  <si>
    <t>Small</t>
  </si>
  <si>
    <t>*this is based on week of feb 9th data</t>
  </si>
  <si>
    <t>name</t>
  </si>
  <si>
    <t># of weeks</t>
  </si>
  <si>
    <t>notes</t>
  </si>
  <si>
    <t>completed</t>
  </si>
  <si>
    <t>Live Oak</t>
  </si>
  <si>
    <t>only has 2026</t>
  </si>
  <si>
    <t>first one is June 2025</t>
  </si>
  <si>
    <t>Cuero</t>
  </si>
  <si>
    <t>has up to 2023</t>
  </si>
  <si>
    <t>has nov 2025</t>
  </si>
  <si>
    <t>Sept 2022</t>
  </si>
  <si>
    <t>most recent week</t>
  </si>
  <si>
    <t>livingston</t>
  </si>
  <si>
    <t>Gonzales</t>
  </si>
  <si>
    <t>Comanche</t>
  </si>
  <si>
    <t>Coryell</t>
  </si>
  <si>
    <t>Decatur</t>
  </si>
  <si>
    <t>recent week</t>
  </si>
  <si>
    <t>East Texas</t>
  </si>
  <si>
    <t xml:space="preserve">Edinburg </t>
  </si>
  <si>
    <t>Barn</t>
  </si>
  <si>
    <t>Date</t>
  </si>
  <si>
    <t>Head Count</t>
  </si>
  <si>
    <t>Category</t>
  </si>
  <si>
    <t>Weight/Class</t>
  </si>
  <si>
    <t>Grade</t>
  </si>
  <si>
    <t>Low Price</t>
  </si>
  <si>
    <t>High Price</t>
  </si>
  <si>
    <t>Feeder Steers</t>
  </si>
  <si>
    <t>200-299 LB</t>
  </si>
  <si>
    <t>#2 Plain</t>
  </si>
  <si>
    <t>300-399 LB</t>
  </si>
  <si>
    <t>400-499 LB</t>
  </si>
  <si>
    <t>500-599 LB</t>
  </si>
  <si>
    <t>600-699 LB</t>
  </si>
  <si>
    <t>700-799 LB</t>
  </si>
  <si>
    <t>#1-#1 1/2</t>
  </si>
  <si>
    <t>Feeder Heifers</t>
  </si>
  <si>
    <t>Stocker Steers</t>
  </si>
  <si>
    <t>Per Head</t>
  </si>
  <si>
    <t>Stocker Heifers</t>
  </si>
  <si>
    <t>Stocker Cows</t>
  </si>
  <si>
    <t>Bred Cows (Young)</t>
  </si>
  <si>
    <t>Bred Cows (Mid-Age)</t>
  </si>
  <si>
    <t>Slaughter Cows</t>
  </si>
  <si>
    <t>High Yield</t>
  </si>
  <si>
    <t>Low Yield</t>
  </si>
  <si>
    <t>Slaughter Bulls</t>
  </si>
  <si>
    <t>Feeder Bulls</t>
  </si>
  <si>
    <t>High Yield Bulls</t>
  </si>
  <si>
    <t>Low Yield Bulls</t>
  </si>
  <si>
    <t>Baby Calves</t>
  </si>
  <si>
    <t>Under 200 LB</t>
  </si>
  <si>
    <t>East Texas Livestock</t>
  </si>
  <si>
    <t>Canners</t>
  </si>
  <si>
    <t>Boning Utility</t>
  </si>
  <si>
    <t>Cutters</t>
  </si>
  <si>
    <t>Bred Cows</t>
  </si>
  <si>
    <t>Cow/Calf Pairs</t>
  </si>
  <si>
    <t>150-200 LB</t>
  </si>
  <si>
    <t>Large Frame #1</t>
  </si>
  <si>
    <t>205-300 LB</t>
  </si>
  <si>
    <t>305-400 LB</t>
  </si>
  <si>
    <t>405-500 LB</t>
  </si>
  <si>
    <t>505-600 LB</t>
  </si>
  <si>
    <t>605-800 LB</t>
  </si>
  <si>
    <t>Edinburg Livestock Auction</t>
  </si>
  <si>
    <t>Packer Bulls</t>
  </si>
  <si>
    <t>WT</t>
  </si>
  <si>
    <t>1000+ LB</t>
  </si>
  <si>
    <t>Packer Cows</t>
  </si>
  <si>
    <t>800-899 LB</t>
  </si>
  <si>
    <t>900-999 LB</t>
  </si>
  <si>
    <t>GW</t>
  </si>
  <si>
    <t>HD</t>
  </si>
  <si>
    <t>PR</t>
  </si>
  <si>
    <t>100-199 LB</t>
  </si>
  <si>
    <t>Horses</t>
  </si>
  <si>
    <t>0+ LB</t>
  </si>
  <si>
    <t>Any Type</t>
  </si>
  <si>
    <t>Buyers</t>
  </si>
  <si>
    <t>Sellers</t>
  </si>
  <si>
    <t>Est Weekly Gross ($2,000/head)</t>
  </si>
  <si>
    <t>Est Annual Gross</t>
  </si>
  <si>
    <t>2-Day Float Revenue</t>
  </si>
  <si>
    <t>Feb Week</t>
  </si>
  <si>
    <t>—</t>
  </si>
  <si>
    <t>*based on feb 9th to be comparable</t>
  </si>
  <si>
    <t>Volume</t>
  </si>
  <si>
    <t>Consignors</t>
  </si>
  <si>
    <t>d</t>
  </si>
  <si>
    <t>category</t>
  </si>
  <si>
    <t>weight/class</t>
  </si>
  <si>
    <t>grade</t>
  </si>
  <si>
    <t>low price</t>
  </si>
  <si>
    <t>high price</t>
  </si>
  <si>
    <t>mid point price</t>
  </si>
  <si>
    <t>price spread</t>
  </si>
  <si>
    <t>precent spread</t>
  </si>
  <si>
    <t>Cow &amp; Calf Pairs</t>
  </si>
  <si>
    <t>Choice</t>
  </si>
  <si>
    <t>Good</t>
  </si>
  <si>
    <t>Bred &amp; Stocker Cows</t>
  </si>
  <si>
    <t>Open</t>
  </si>
  <si>
    <t>Utility &amp; Boners</t>
  </si>
  <si>
    <t>Fat Breakers</t>
  </si>
  <si>
    <t>High Yielding</t>
  </si>
  <si>
    <t>Medium Yielding</t>
  </si>
  <si>
    <t>Low Yielding</t>
  </si>
  <si>
    <t>Steers</t>
  </si>
  <si>
    <t>200-300 lbs</t>
  </si>
  <si>
    <t>Heifers</t>
  </si>
  <si>
    <t>300-400 lbs</t>
  </si>
  <si>
    <t>400-500 lbs</t>
  </si>
  <si>
    <t>500-600 lbs</t>
  </si>
  <si>
    <t>600-700 lbs</t>
  </si>
  <si>
    <t>700-800 lbs</t>
  </si>
  <si>
    <t>Barn Name</t>
  </si>
  <si>
    <t>Thin Cows</t>
  </si>
  <si>
    <t>Medium Cows</t>
  </si>
  <si>
    <t>Good Cows</t>
  </si>
  <si>
    <t>Bulls</t>
  </si>
  <si>
    <t>Grade 1 &amp; 2</t>
  </si>
  <si>
    <t>High Yield Individual</t>
  </si>
  <si>
    <t>Lower Yielding</t>
  </si>
  <si>
    <t>Good Pairs</t>
  </si>
  <si>
    <t>Medium Pairs</t>
  </si>
  <si>
    <t>Good Bred Cows</t>
  </si>
  <si>
    <t>Medium Bred Cows</t>
  </si>
  <si>
    <t>100-200 LB</t>
  </si>
  <si>
    <t>Medium/Large Frame</t>
  </si>
  <si>
    <t>200-300 LB</t>
  </si>
  <si>
    <t>300-400 LB</t>
  </si>
  <si>
    <t>400-500 LB</t>
  </si>
  <si>
    <t>500-600 LB</t>
  </si>
  <si>
    <t>600-700 LB</t>
  </si>
  <si>
    <t>700-800 LB</t>
  </si>
  <si>
    <t>800-1000 LB</t>
  </si>
  <si>
    <t>Cuero Livestock Commission</t>
  </si>
  <si>
    <t>Higher Yielding</t>
  </si>
  <si>
    <t>Poor &amp; Weak</t>
  </si>
  <si>
    <t>Steer/Bull Calves</t>
  </si>
  <si>
    <t>200-250 lbs</t>
  </si>
  <si>
    <t>AVG-HIGH</t>
  </si>
  <si>
    <t>250-299 lbs</t>
  </si>
  <si>
    <t>300-350 lbs</t>
  </si>
  <si>
    <t>350-400 lbs</t>
  </si>
  <si>
    <t>400-450 lbs</t>
  </si>
  <si>
    <t>450-500 lbs</t>
  </si>
  <si>
    <t>500-550 lbs</t>
  </si>
  <si>
    <t>550-600 lbs</t>
  </si>
  <si>
    <t>Heifer Calves</t>
  </si>
  <si>
    <t>250-300 lbs</t>
  </si>
  <si>
    <t>Pairs</t>
  </si>
  <si>
    <t>200-250 LB</t>
  </si>
  <si>
    <t>250-299 LB</t>
  </si>
  <si>
    <t>300-350 LB</t>
  </si>
  <si>
    <t>350-400 LB</t>
  </si>
  <si>
    <t>400-450 LB</t>
  </si>
  <si>
    <t>450-500 LB</t>
  </si>
  <si>
    <t>500-550 LB</t>
  </si>
  <si>
    <t>550-600 LB</t>
  </si>
  <si>
    <t>250-300 LB</t>
  </si>
  <si>
    <t>Top Cows</t>
  </si>
  <si>
    <t>Top Bulls</t>
  </si>
  <si>
    <t>Medium Bulls</t>
  </si>
  <si>
    <t>150-300 LB</t>
  </si>
  <si>
    <t>#1</t>
  </si>
  <si>
    <t>#2</t>
  </si>
  <si>
    <t>700-850 LB</t>
  </si>
  <si>
    <t>850-1000 LB</t>
  </si>
  <si>
    <t>High Dressing</t>
  </si>
  <si>
    <t>Lower Dressing</t>
  </si>
  <si>
    <t>Thin</t>
  </si>
  <si>
    <t>Low Dressing</t>
  </si>
  <si>
    <t>Bred</t>
  </si>
  <si>
    <t>Medium &amp; Large No. 1</t>
  </si>
  <si>
    <t>700+ LB</t>
  </si>
  <si>
    <t>Yield Grade 1 &amp; 2 Bulls</t>
  </si>
  <si>
    <t>Lower Yielding Bulls</t>
  </si>
  <si>
    <t>800+ 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</si>
</sst>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h:mm am/pm"/>
    <numFmt numFmtId="165" formatCode="mmm yyyy"/>
    <numFmt numFmtId="166" formatCode="mmm d, yyyy"/>
    <numFmt numFmtId="167" formatCode="mmmm yyyy"/>
    <numFmt numFmtId="168" formatCode="m/d/yyyy"/>
    <numFmt numFmtId="169" formatCode="mmm d"/>
    <numFmt numFmtId="170" formatCode="M/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3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7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wrapText="1"/>
    </xf>
    <xf borderId="0" fillId="0" fontId="2" numFmtId="168" xfId="0" applyAlignment="1" applyFont="1" applyNumberFormat="1">
      <alignment readingOrder="0"/>
    </xf>
    <xf borderId="0" fillId="0" fontId="2" numFmtId="168" xfId="0" applyAlignment="1" applyFont="1" applyNumberFormat="1">
      <alignment readingOrder="0" shrinkToFit="0" vertical="center" wrapText="0"/>
    </xf>
    <xf borderId="0" fillId="0" fontId="2" numFmtId="16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68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70" xfId="0" applyAlignment="1" applyFont="1" applyNumberFormat="1">
      <alignment readingOrder="0" shrinkToFit="0" vertical="center" wrapText="0"/>
    </xf>
    <xf borderId="0" fillId="0" fontId="2" numFmtId="170" xfId="0" applyAlignment="1" applyFont="1" applyNumberFormat="1">
      <alignment readingOrder="0" shrinkToFit="0" vertical="center" wrapText="0"/>
    </xf>
    <xf borderId="0" fillId="0" fontId="2" numFmtId="10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3">
    <tableStyle count="4" pivot="0" name="coastal_barns_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ses_barn_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ses_barn_feb0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rns_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atur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ast_texas_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ast_texas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dinburg_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dinburg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l_bar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ve_oak_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ve_oak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enham_26_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enham_26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ero_26_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ero_26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ur_26_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ur_26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po_26_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po_26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umbus_26_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umbus_26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harton_detail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3" displayName="Table1" name="Table1" id="1">
  <tableColumns count="20">
    <tableColumn name="Auction Name" id="1"/>
    <tableColumn name="Location" id="2"/>
    <tableColumn name="Sale Day" id="3"/>
    <tableColumn name="Sale Time" id="4"/>
    <tableColumn name="Sale Frequency" id="5"/>
    <tableColumn name="Est Annual Head" id="6"/>
    <tableColumn name="Sample Weekly Head" id="7"/>
    <tableColumn name="Sample Sellers" id="8"/>
    <tableColumn name="Sample Buyers" id="9"/>
    <tableColumn name="Avg Buyers" id="10"/>
    <tableColumn name="Avg Calf Price" id="11"/>
    <tableColumn name="Packer Bull Range" id="12"/>
    <tableColumn name="Packer Cow Range" id="13"/>
    <tableColumn name="Price Data Available" id="14"/>
    <tableColumn name="Buyer Count Published" id="15"/>
    <tableColumn name="Seller Count Published" id="16"/>
    <tableColumn name="Payment Info Listed" id="17"/>
    <tableColumn name="Digital / ACH Mention" id="18"/>
    <tableColumn name="Est Weekly Gross Volume" id="19"/>
    <tableColumn name="Est Annual Gross Volume" id="20"/>
  </tableColumns>
  <tableStyleInfo name="coastal_barns_info-style" showColumnStripes="0" showFirstColumn="1" showLastColumn="1" showRowStripes="1"/>
</table>
</file>

<file path=xl/tables/table2.xml><?xml version="1.0" encoding="utf-8"?>
<table xmlns="http://schemas.openxmlformats.org/spreadsheetml/2006/main" ref="A1:N6" displayName="Table2" name="Table2" id="2">
  <tableColumns count="14">
    <tableColumn name="Auction Name" id="1"/>
    <tableColumn name="Location" id="2"/>
    <tableColumn name="Sale Day" id="3"/>
    <tableColumn name="Sale Time" id="4"/>
    <tableColumn name="Sale Frequency" id="5"/>
    <tableColumn name="Est Annual Head" id="6"/>
    <tableColumn name="Sample Weekly Head" id="7"/>
    <tableColumn name="Sellers/Consignors" id="8"/>
    <tableColumn name="Buyers/Attendance" id="9"/>
    <tableColumn name="Price Data Available" id="10"/>
    <tableColumn name="Buyer Count Published" id="11"/>
    <tableColumn name="Seller Count Published" id="12"/>
    <tableColumn name="Payment Info Listed" id="13"/>
    <tableColumn name="Digital / ACH Mention" id="14"/>
  </tableColumns>
  <tableStyleInfo name="chases_barn_info-style" showColumnStripes="0" showFirstColumn="1" showLastColumn="1" showRowStripes="1"/>
</table>
</file>

<file path=xl/tables/table3.xml><?xml version="1.0" encoding="utf-8"?>
<table xmlns="http://schemas.openxmlformats.org/spreadsheetml/2006/main" ref="A1:J6" displayName="Table3" name="Table3" id="3">
  <tableColumns count="10">
    <tableColumn name="Auction Name" id="1"/>
    <tableColumn name="Location" id="2"/>
    <tableColumn name="Sale Date" id="3"/>
    <tableColumn name="Weekly Head" id="4"/>
    <tableColumn name="Tier" id="5"/>
    <tableColumn name="Est Weekly Gross (Low $1,400)" id="6"/>
    <tableColumn name="Est Weekly Gross (Mid $2,000)" id="7"/>
    <tableColumn name="Est Weekly Gross (High $2,600)" id="8"/>
    <tableColumn name="Est Annual Gross (Mid)" id="9"/>
    <tableColumn name="2-Day Float Revenue (Mid)" id="10"/>
  </tableColumns>
  <tableStyleInfo name="chases_barn_feb09-style" showColumnStripes="0" showFirstColumn="1" showLastColumn="1" showRowStripes="1"/>
</table>
</file>

<file path=xl/tables/table4.xml><?xml version="1.0" encoding="utf-8"?>
<table xmlns="http://schemas.openxmlformats.org/spreadsheetml/2006/main" ref="A1:D15" displayName="Table18" name="Table18" id="4">
  <tableColumns count="4">
    <tableColumn name="name" id="1"/>
    <tableColumn name="# of weeks" id="2"/>
    <tableColumn name="notes" id="3"/>
    <tableColumn name="completed" id="4"/>
  </tableColumns>
  <tableStyleInfo name="barns_info-style" showColumnStripes="0" showFirstColumn="1" showLastColumn="1" showRowStripes="1"/>
</table>
</file>

<file path=xl/tables/table5.xml><?xml version="1.0" encoding="utf-8"?>
<table xmlns="http://schemas.openxmlformats.org/spreadsheetml/2006/main" ref="A1:F42" displayName="Table23" name="Table23" id="5">
  <tableColumns count="6">
    <tableColumn name="Date" id="1"/>
    <tableColumn name="Category" id="2"/>
    <tableColumn name="Weight/Class" id="3"/>
    <tableColumn name="Grade" id="4"/>
    <tableColumn name="Low Price" id="5"/>
    <tableColumn name="High Price" id="6"/>
  </tableColumns>
  <tableStyleInfo name="decatur_detailed-style" showColumnStripes="0" showFirstColumn="1" showLastColumn="1" showRowStripes="1"/>
</table>
</file>

<file path=xl/tables/table6.xml><?xml version="1.0" encoding="utf-8"?>
<table xmlns="http://schemas.openxmlformats.org/spreadsheetml/2006/main" ref="A1:C2" displayName="Table21" name="Table21" id="6">
  <tableColumns count="3">
    <tableColumn name="Barn" id="1"/>
    <tableColumn name="Date" id="2"/>
    <tableColumn name="Head Count" id="3"/>
  </tableColumns>
  <tableStyleInfo name="east_texas_weekly-style" showColumnStripes="0" showFirstColumn="1" showLastColumn="1" showRowStripes="1"/>
</table>
</file>

<file path=xl/tables/table7.xml><?xml version="1.0" encoding="utf-8"?>
<table xmlns="http://schemas.openxmlformats.org/spreadsheetml/2006/main" ref="A1:F19" displayName="Table22" name="Table22" id="7">
  <tableColumns count="6">
    <tableColumn name="Date" id="1"/>
    <tableColumn name="Category" id="2"/>
    <tableColumn name="Weight/Class" id="3"/>
    <tableColumn name="Grade" id="4"/>
    <tableColumn name="Low Price" id="5"/>
    <tableColumn name="High Price" id="6"/>
  </tableColumns>
  <tableStyleInfo name="east_texas_detailed-style" showColumnStripes="0" showFirstColumn="1" showLastColumn="1" showRowStripes="1"/>
</table>
</file>

<file path=xl/tables/table8.xml><?xml version="1.0" encoding="utf-8"?>
<table xmlns="http://schemas.openxmlformats.org/spreadsheetml/2006/main" ref="A1:C2" displayName="Table19" name="Table19" id="8">
  <tableColumns count="3">
    <tableColumn name="Barn" id="1"/>
    <tableColumn name="Date" id="2"/>
    <tableColumn name="Head Count" id="3"/>
  </tableColumns>
  <tableStyleInfo name="edinburg_weekly-style" showColumnStripes="0" showFirstColumn="1" showLastColumn="1" showRowStripes="1"/>
</table>
</file>

<file path=xl/tables/table9.xml><?xml version="1.0" encoding="utf-8"?>
<table xmlns="http://schemas.openxmlformats.org/spreadsheetml/2006/main" ref="A1:F34" displayName="Table20" name="Table20" id="9">
  <tableColumns count="6">
    <tableColumn name="Date" id="1"/>
    <tableColumn name="Category" id="2"/>
    <tableColumn name="Weight/Class" id="3"/>
    <tableColumn name="Grade" id="4"/>
    <tableColumn name="Low Price" id="5"/>
    <tableColumn name="High Price" id="6"/>
  </tableColumns>
  <tableStyleInfo name="edinburg_detailed-style" showColumnStripes="0" showFirstColumn="1" showLastColumn="1" showRowStripes="1"/>
</table>
</file>

<file path=xl/tables/table10.xml><?xml version="1.0" encoding="utf-8"?>
<table xmlns="http://schemas.openxmlformats.org/spreadsheetml/2006/main" ref="A1:I8" displayName="Table4" name="Table4" id="10">
  <tableColumns count="9">
    <tableColumn name="Auction Name" id="1"/>
    <tableColumn name="Sale Date" id="2"/>
    <tableColumn name="Weekly Head" id="3"/>
    <tableColumn name="Buyers" id="4"/>
    <tableColumn name="Sellers" id="5"/>
    <tableColumn name="Tier" id="6"/>
    <tableColumn name="Est Weekly Gross ($2,000/head)" id="7"/>
    <tableColumn name="Est Annual Gross" id="8"/>
    <tableColumn name="2-Day Float Revenue" id="9"/>
  </tableColumns>
  <tableStyleInfo name="all_barns-style" showColumnStripes="0" showFirstColumn="1" showLastColumn="1" showRowStripes="1"/>
</table>
</file>

<file path=xl/tables/table11.xml><?xml version="1.0" encoding="utf-8"?>
<table xmlns="http://schemas.openxmlformats.org/spreadsheetml/2006/main" ref="A1:D7" displayName="Table6" name="Table6" id="11">
  <tableColumns count="4">
    <tableColumn name="Date" id="1"/>
    <tableColumn name="Volume" id="2"/>
    <tableColumn name="Consignors" id="3"/>
    <tableColumn name="Buyers" id="4"/>
  </tableColumns>
  <tableStyleInfo name="live_oak_weekly-style" showColumnStripes="0" showFirstColumn="1" showLastColumn="1" showRowStripes="1"/>
</table>
</file>

<file path=xl/tables/table12.xml><?xml version="1.0" encoding="utf-8"?>
<table xmlns="http://schemas.openxmlformats.org/spreadsheetml/2006/main" ref="A1:I211" displayName="Table5" name="Table5" id="12">
  <tableColumns count="9">
    <tableColumn name="d" id="1"/>
    <tableColumn name="category" id="2"/>
    <tableColumn name="weight/class" id="3"/>
    <tableColumn name="grade" id="4"/>
    <tableColumn name="low price" id="5"/>
    <tableColumn name="high price" id="6"/>
    <tableColumn name="mid point price" id="7"/>
    <tableColumn name="price spread" id="8"/>
    <tableColumn name="precent spread" id="9"/>
  </tableColumns>
  <tableStyleInfo name="live_oak_detailed-style" showColumnStripes="0" showFirstColumn="1" showLastColumn="1" showRowStripes="1"/>
</table>
</file>

<file path=xl/tables/table13.xml><?xml version="1.0" encoding="utf-8"?>
<table xmlns="http://schemas.openxmlformats.org/spreadsheetml/2006/main" ref="A1:E31" displayName="Table9" name="Table9" id="13">
  <tableColumns count="5">
    <tableColumn name="Barn Name" id="1"/>
    <tableColumn name="Date" id="2"/>
    <tableColumn name="Volume" id="3"/>
    <tableColumn name="Consignors" id="4"/>
    <tableColumn name="Buyers" id="5"/>
  </tableColumns>
  <tableStyleInfo name="brenham_26_weekly-style" showColumnStripes="0" showFirstColumn="1" showLastColumn="1" showRowStripes="1"/>
</table>
</file>

<file path=xl/tables/table14.xml><?xml version="1.0" encoding="utf-8"?>
<table xmlns="http://schemas.openxmlformats.org/spreadsheetml/2006/main" ref="A1:I781" displayName="Table10" name="Table10" id="14">
  <tableColumns count="9">
    <tableColumn name="Date" id="1"/>
    <tableColumn name="Category" id="2"/>
    <tableColumn name="Weight/Class" id="3"/>
    <tableColumn name="Grade" id="4"/>
    <tableColumn name="Low Price" id="5"/>
    <tableColumn name="High Price" id="6"/>
    <tableColumn name="mid point price" id="7"/>
    <tableColumn name="price spread" id="8"/>
    <tableColumn name="precent spread" id="9"/>
  </tableColumns>
  <tableStyleInfo name="brenham_26_detailed-style" showColumnStripes="0" showFirstColumn="1" showLastColumn="1" showRowStripes="1"/>
</table>
</file>

<file path=xl/tables/table15.xml><?xml version="1.0" encoding="utf-8"?>
<table xmlns="http://schemas.openxmlformats.org/spreadsheetml/2006/main" ref="A1:E7" displayName="Table7" name="Table7" id="15">
  <tableColumns count="5">
    <tableColumn name="Barn" id="1"/>
    <tableColumn name="Date" id="2"/>
    <tableColumn name="Volume" id="3"/>
    <tableColumn name="Consignors" id="4"/>
    <tableColumn name="Buyers" id="5"/>
  </tableColumns>
  <tableStyleInfo name="cuero_26_weekly-style" showColumnStripes="0" showFirstColumn="1" showLastColumn="1" showRowStripes="1"/>
</table>
</file>

<file path=xl/tables/table16.xml><?xml version="1.0" encoding="utf-8"?>
<table xmlns="http://schemas.openxmlformats.org/spreadsheetml/2006/main" ref="A1:I153" displayName="Table8" name="Table8" id="16">
  <tableColumns count="9">
    <tableColumn name="Date" id="1"/>
    <tableColumn name="Category" id="2"/>
    <tableColumn name="Weight/Class" id="3"/>
    <tableColumn name="Grade" id="4"/>
    <tableColumn name="Low Price" id="5"/>
    <tableColumn name="High Price" id="6"/>
    <tableColumn name="mid point price" id="7"/>
    <tableColumn name="price spread" id="8"/>
    <tableColumn name="precent spread" id="9"/>
  </tableColumns>
  <tableStyleInfo name="cuero_26_detailed-style" showColumnStripes="0" showFirstColumn="1" showLastColumn="1" showRowStripes="1"/>
</table>
</file>

<file path=xl/tables/table17.xml><?xml version="1.0" encoding="utf-8"?>
<table xmlns="http://schemas.openxmlformats.org/spreadsheetml/2006/main" ref="A1:D6" displayName="Table17" name="Table17" id="17">
  <tableColumns count="4">
    <tableColumn name="Date" id="1"/>
    <tableColumn name="Volume" id="2"/>
    <tableColumn name="Consignors" id="3"/>
    <tableColumn name="Buyers" id="4"/>
  </tableColumns>
  <tableStyleInfo name="four_26_weekly-style" showColumnStripes="0" showFirstColumn="1" showLastColumn="1" showRowStripes="1"/>
</table>
</file>

<file path=xl/tables/table18.xml><?xml version="1.0" encoding="utf-8"?>
<table xmlns="http://schemas.openxmlformats.org/spreadsheetml/2006/main" ref="A1:I175" displayName="Table13" name="Table13" id="18">
  <tableColumns count="9">
    <tableColumn name="Date" id="1"/>
    <tableColumn name="Category" id="2"/>
    <tableColumn name="Weight/Class" id="3"/>
    <tableColumn name="Grade" id="4"/>
    <tableColumn name="Low Price" id="5"/>
    <tableColumn name="High Price" id="6"/>
    <tableColumn name="mid point price" id="7"/>
    <tableColumn name="price spread" id="8"/>
    <tableColumn name="precent spread" id="9"/>
  </tableColumns>
  <tableStyleInfo name="four_26_detailed-style" showColumnStripes="0" showFirstColumn="1" showLastColumn="1" showRowStripes="1"/>
</table>
</file>

<file path=xl/tables/table19.xml><?xml version="1.0" encoding="utf-8"?>
<table xmlns="http://schemas.openxmlformats.org/spreadsheetml/2006/main" ref="A1:B6" displayName="Table14" name="Table14" id="19">
  <tableColumns count="2">
    <tableColumn name="Date" id="1"/>
    <tableColumn name="Head Count" id="2"/>
  </tableColumns>
  <tableStyleInfo name="campo_26_weekly-style" showColumnStripes="0" showFirstColumn="1" showLastColumn="1" showRowStripes="1"/>
</table>
</file>

<file path=xl/tables/table20.xml><?xml version="1.0" encoding="utf-8"?>
<table xmlns="http://schemas.openxmlformats.org/spreadsheetml/2006/main" ref="A1:I105" displayName="Table15" name="Table15" id="20">
  <tableColumns count="9">
    <tableColumn name="Date" id="1"/>
    <tableColumn name="Category" id="2"/>
    <tableColumn name="Weight/Class" id="3"/>
    <tableColumn name="Grade" id="4"/>
    <tableColumn name="Low Price" id="5"/>
    <tableColumn name="High Price" id="6"/>
    <tableColumn name="mid point price" id="7"/>
    <tableColumn name="price spread" id="8"/>
    <tableColumn name="precent spread" id="9"/>
  </tableColumns>
  <tableStyleInfo name="campo_26_detailed-style" showColumnStripes="0" showFirstColumn="1" showLastColumn="1" showRowStripes="1"/>
</table>
</file>

<file path=xl/tables/table21.xml><?xml version="1.0" encoding="utf-8"?>
<table xmlns="http://schemas.openxmlformats.org/spreadsheetml/2006/main" ref="A1:D8" displayName="Table11" name="Table11" id="21">
  <tableColumns count="4">
    <tableColumn name="Date" id="1"/>
    <tableColumn name="Volume" id="2"/>
    <tableColumn name="Consignors" id="3"/>
    <tableColumn name="Buyers" id="4"/>
  </tableColumns>
  <tableStyleInfo name="columbus_26_weekly-style" showColumnStripes="0" showFirstColumn="1" showLastColumn="1" showRowStripes="1"/>
</table>
</file>

<file path=xl/tables/table22.xml><?xml version="1.0" encoding="utf-8"?>
<table xmlns="http://schemas.openxmlformats.org/spreadsheetml/2006/main" ref="A1:I148" displayName="Table12" name="Table12" id="22">
  <tableColumns count="9">
    <tableColumn name="Date" id="1"/>
    <tableColumn name="Category" id="2"/>
    <tableColumn name="Weight/Class" id="3"/>
    <tableColumn name="Grade" id="4"/>
    <tableColumn name="Low Price" id="5"/>
    <tableColumn name="High Price" id="6"/>
    <tableColumn name="mid point price" id="7"/>
    <tableColumn name="price spread" id="8"/>
    <tableColumn name="precent spread" id="9"/>
  </tableColumns>
  <tableStyleInfo name="columbus_26_detailed-style" showColumnStripes="0" showFirstColumn="1" showLastColumn="1" showRowStripes="1"/>
</table>
</file>

<file path=xl/tables/table23.xml><?xml version="1.0" encoding="utf-8"?>
<table xmlns="http://schemas.openxmlformats.org/spreadsheetml/2006/main" ref="A1:I16" displayName="Table16" name="Table16" id="23">
  <tableColumns count="9">
    <tableColumn name="Date" id="1"/>
    <tableColumn name="Category" id="2"/>
    <tableColumn name="Weight/Class" id="3"/>
    <tableColumn name="Grade" id="4"/>
    <tableColumn name="Low Price" id="5"/>
    <tableColumn name="High Price" id="6"/>
    <tableColumn name="mid point price" id="7"/>
    <tableColumn name="price spread" id="8"/>
    <tableColumn name="precent spread" id="9"/>
  </tableColumns>
  <tableStyleInfo name="wharton_detail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ttlemansbrenhamlivestock.com/?utm_source=chatgpt.com" TargetMode="External"/><Relationship Id="rId2" Type="http://schemas.openxmlformats.org/officeDocument/2006/relationships/hyperlink" Target="https://www.cattlemansbrenhamlivestock.com/weeky-reports?utm_source=chatgpt.com" TargetMode="External"/><Relationship Id="rId3" Type="http://schemas.openxmlformats.org/officeDocument/2006/relationships/hyperlink" Target="https://fourcountylivestock.com/market-report/?utm_source=chatgpt.com" TargetMode="External"/><Relationship Id="rId4" Type="http://schemas.openxmlformats.org/officeDocument/2006/relationships/hyperlink" Target="https://www.elcampolivestock.com/?utm_source=chatgpt.com" TargetMode="External"/><Relationship Id="rId5" Type="http://schemas.openxmlformats.org/officeDocument/2006/relationships/hyperlink" Target="https://whartonlivestock.com/?utm_source=chatgpt.com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://www.coryellcommission.com/" TargetMode="External"/><Relationship Id="rId10" Type="http://schemas.openxmlformats.org/officeDocument/2006/relationships/hyperlink" Target="https://comanchelivestockexchange.com/market-reports" TargetMode="External"/><Relationship Id="rId13" Type="http://schemas.openxmlformats.org/officeDocument/2006/relationships/hyperlink" Target="https://easttexaslivestock.com/" TargetMode="External"/><Relationship Id="rId12" Type="http://schemas.openxmlformats.org/officeDocument/2006/relationships/hyperlink" Target="https://www.decaturlivestockmarketllc.com/current-market-report" TargetMode="External"/><Relationship Id="rId1" Type="http://schemas.openxmlformats.org/officeDocument/2006/relationships/hyperlink" Target="https://eqr.sfu.mybluehost.me/" TargetMode="External"/><Relationship Id="rId2" Type="http://schemas.openxmlformats.org/officeDocument/2006/relationships/hyperlink" Target="https://www.cattlemansbrenhamlivestock.com/" TargetMode="External"/><Relationship Id="rId3" Type="http://schemas.openxmlformats.org/officeDocument/2006/relationships/hyperlink" Target="https://cuerols.com/" TargetMode="External"/><Relationship Id="rId4" Type="http://schemas.openxmlformats.org/officeDocument/2006/relationships/hyperlink" Target="https://fourcountylivestock.com/" TargetMode="External"/><Relationship Id="rId9" Type="http://schemas.openxmlformats.org/officeDocument/2006/relationships/hyperlink" Target="https://www.gonzaleslivestock.com/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edinburglivestockauction.com/" TargetMode="External"/><Relationship Id="rId17" Type="http://schemas.openxmlformats.org/officeDocument/2006/relationships/table" Target="../tables/table4.xml"/><Relationship Id="rId5" Type="http://schemas.openxmlformats.org/officeDocument/2006/relationships/hyperlink" Target="https://www.elcampolivestock.com/" TargetMode="External"/><Relationship Id="rId6" Type="http://schemas.openxmlformats.org/officeDocument/2006/relationships/hyperlink" Target="https://www.cattlemanscolumbuslivestock.com/" TargetMode="External"/><Relationship Id="rId7" Type="http://schemas.openxmlformats.org/officeDocument/2006/relationships/hyperlink" Target="https://whartonlivestock.com/" TargetMode="External"/><Relationship Id="rId8" Type="http://schemas.openxmlformats.org/officeDocument/2006/relationships/hyperlink" Target="https://livingstonlivestockexchange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1.5"/>
    <col customWidth="1" min="4" max="4" width="18.38"/>
    <col customWidth="1" min="5" max="5" width="17.0"/>
    <col customWidth="1" min="6" max="6" width="21.13"/>
    <col customWidth="1" min="7" max="7" width="24.5"/>
    <col customWidth="1" min="8" max="9" width="16.75"/>
    <col customWidth="1" min="10" max="10" width="14.0"/>
    <col customWidth="1" min="11" max="11" width="16.13"/>
    <col customWidth="1" min="12" max="12" width="19.13"/>
    <col customWidth="1" min="13" max="13" width="19.5"/>
    <col customWidth="1" min="14" max="14" width="20.5"/>
    <col customWidth="1" min="15" max="15" width="22.63"/>
    <col customWidth="1" min="16" max="16" width="22.5"/>
    <col customWidth="1" min="17" max="17" width="20.5"/>
    <col customWidth="1" min="18" max="18" width="21.75"/>
    <col customWidth="1" min="19" max="19" width="24.63"/>
    <col customWidth="1" min="20" max="20" width="2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3" t="s">
        <v>25</v>
      </c>
      <c r="G2" s="3">
        <v>2397.0</v>
      </c>
      <c r="H2" s="2">
        <v>235.0</v>
      </c>
      <c r="I2" s="2">
        <v>84.0</v>
      </c>
      <c r="J2" s="2" t="s">
        <v>26</v>
      </c>
      <c r="K2" s="2" t="s">
        <v>23</v>
      </c>
      <c r="L2" s="2" t="s">
        <v>23</v>
      </c>
      <c r="M2" s="2" t="s">
        <v>23</v>
      </c>
      <c r="N2" s="2" t="s">
        <v>27</v>
      </c>
      <c r="O2" s="2" t="s">
        <v>28</v>
      </c>
      <c r="P2" s="2" t="s">
        <v>28</v>
      </c>
      <c r="Q2" s="2" t="s">
        <v>29</v>
      </c>
      <c r="R2" s="2" t="s">
        <v>29</v>
      </c>
      <c r="S2" s="2" t="s">
        <v>30</v>
      </c>
      <c r="T2" s="2" t="s">
        <v>31</v>
      </c>
    </row>
    <row r="3" ht="22.5" customHeight="1">
      <c r="A3" s="2" t="s">
        <v>32</v>
      </c>
      <c r="B3" s="2" t="s">
        <v>33</v>
      </c>
      <c r="C3" s="2" t="s">
        <v>34</v>
      </c>
      <c r="D3" s="4">
        <v>0.4583333333333333</v>
      </c>
      <c r="E3" s="2" t="s">
        <v>24</v>
      </c>
      <c r="F3" s="2" t="s">
        <v>35</v>
      </c>
      <c r="G3" s="3">
        <v>1826.0</v>
      </c>
      <c r="H3" s="2" t="s">
        <v>23</v>
      </c>
      <c r="I3" s="2" t="s">
        <v>23</v>
      </c>
      <c r="J3" s="2" t="s">
        <v>23</v>
      </c>
      <c r="K3" s="2" t="s">
        <v>36</v>
      </c>
      <c r="L3" s="2" t="s">
        <v>37</v>
      </c>
      <c r="M3" s="2" t="s">
        <v>38</v>
      </c>
      <c r="N3" s="2" t="s">
        <v>28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39</v>
      </c>
      <c r="T3" s="2" t="s">
        <v>40</v>
      </c>
    </row>
    <row r="4">
      <c r="A4" s="5"/>
      <c r="B4" s="5"/>
    </row>
    <row r="5">
      <c r="A5" s="5"/>
      <c r="B5" s="5"/>
    </row>
    <row r="6">
      <c r="A6" s="5"/>
      <c r="B6" s="6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6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</sheetData>
  <dataValidations>
    <dataValidation type="custom" allowBlank="1" showDropDown="1" sqref="D2:D3">
      <formula1>OR(TIMEVALUE(TEXT(D2, "hh:mm:ss"))=D2, AND(ISNUMBER(D2), LEFT(CELL("format", D2))="D"))</formula1>
    </dataValidation>
    <dataValidation type="custom" allowBlank="1" showDropDown="1" sqref="G2:G3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3" max="3" width="21.63"/>
    <col customWidth="1" min="4" max="4" width="14.88"/>
    <col customWidth="1" min="5" max="5" width="23.38"/>
    <col customWidth="1" min="6" max="6" width="17.88"/>
    <col customWidth="1" min="7" max="7" width="28.25"/>
    <col customWidth="1" min="8" max="8" width="26.25"/>
    <col customWidth="1" min="9" max="9" width="19.88"/>
    <col customWidth="1" min="10" max="10" width="22.38"/>
    <col customWidth="1" min="11" max="11" width="22.63"/>
    <col customWidth="1" min="12" max="12" width="22.5"/>
    <col customWidth="1" min="13" max="13" width="20.5"/>
    <col customWidth="1" min="14" max="14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42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ht="22.5" customHeight="1">
      <c r="A2" s="2" t="s">
        <v>43</v>
      </c>
      <c r="B2" s="2" t="s">
        <v>44</v>
      </c>
      <c r="C2" s="2" t="s">
        <v>34</v>
      </c>
      <c r="D2" s="2" t="s">
        <v>45</v>
      </c>
      <c r="E2" s="2" t="s">
        <v>24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29</v>
      </c>
      <c r="L2" s="2" t="s">
        <v>29</v>
      </c>
      <c r="M2" s="2" t="s">
        <v>29</v>
      </c>
      <c r="N2" s="7" t="s">
        <v>51</v>
      </c>
    </row>
    <row r="3" ht="22.5" customHeight="1">
      <c r="A3" s="2" t="s">
        <v>52</v>
      </c>
      <c r="B3" s="2" t="s">
        <v>53</v>
      </c>
      <c r="C3" s="2" t="s">
        <v>54</v>
      </c>
      <c r="D3" s="2" t="s">
        <v>46</v>
      </c>
      <c r="E3" s="2" t="s">
        <v>55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29</v>
      </c>
      <c r="L3" s="2" t="s">
        <v>29</v>
      </c>
      <c r="M3" s="2" t="s">
        <v>29</v>
      </c>
      <c r="N3" s="7" t="s">
        <v>56</v>
      </c>
    </row>
    <row r="4" ht="22.5" customHeight="1">
      <c r="A4" s="2" t="s">
        <v>57</v>
      </c>
      <c r="B4" s="2" t="s">
        <v>58</v>
      </c>
      <c r="C4" s="2" t="s">
        <v>59</v>
      </c>
      <c r="D4" s="2" t="s">
        <v>45</v>
      </c>
      <c r="E4" s="2" t="s">
        <v>24</v>
      </c>
      <c r="F4" s="2" t="s">
        <v>46</v>
      </c>
      <c r="G4" s="2" t="s">
        <v>60</v>
      </c>
      <c r="H4" s="2" t="s">
        <v>61</v>
      </c>
      <c r="I4" s="2" t="s">
        <v>49</v>
      </c>
      <c r="J4" s="2" t="s">
        <v>50</v>
      </c>
      <c r="K4" s="2" t="s">
        <v>29</v>
      </c>
      <c r="L4" s="2" t="s">
        <v>29</v>
      </c>
      <c r="M4" s="2" t="s">
        <v>29</v>
      </c>
      <c r="N4" s="7" t="s">
        <v>62</v>
      </c>
    </row>
    <row r="5" ht="22.5" customHeight="1">
      <c r="A5" s="2" t="s">
        <v>63</v>
      </c>
      <c r="B5" s="2" t="s">
        <v>64</v>
      </c>
      <c r="C5" s="2" t="s">
        <v>59</v>
      </c>
      <c r="D5" s="4">
        <v>0.4583333333333333</v>
      </c>
      <c r="E5" s="2" t="s">
        <v>24</v>
      </c>
      <c r="F5" s="2" t="s">
        <v>46</v>
      </c>
      <c r="G5" s="2" t="s">
        <v>47</v>
      </c>
      <c r="H5" s="2" t="s">
        <v>65</v>
      </c>
      <c r="I5" s="2" t="s">
        <v>49</v>
      </c>
      <c r="J5" s="2" t="s">
        <v>66</v>
      </c>
      <c r="K5" s="2" t="s">
        <v>29</v>
      </c>
      <c r="L5" s="2" t="s">
        <v>29</v>
      </c>
      <c r="M5" s="2" t="s">
        <v>29</v>
      </c>
      <c r="N5" s="7" t="s">
        <v>67</v>
      </c>
    </row>
    <row r="6" ht="22.5" customHeight="1">
      <c r="A6" s="2" t="s">
        <v>68</v>
      </c>
      <c r="B6" s="2" t="s">
        <v>69</v>
      </c>
      <c r="C6" s="2" t="s">
        <v>70</v>
      </c>
      <c r="D6" s="2" t="s">
        <v>45</v>
      </c>
      <c r="E6" s="2" t="s">
        <v>24</v>
      </c>
      <c r="F6" s="2" t="s">
        <v>46</v>
      </c>
      <c r="G6" s="2" t="s">
        <v>47</v>
      </c>
      <c r="H6" s="2" t="s">
        <v>71</v>
      </c>
      <c r="I6" s="2" t="s">
        <v>49</v>
      </c>
      <c r="J6" s="2" t="s">
        <v>72</v>
      </c>
      <c r="K6" s="2" t="s">
        <v>29</v>
      </c>
      <c r="L6" s="2" t="s">
        <v>29</v>
      </c>
      <c r="M6" s="2" t="s">
        <v>29</v>
      </c>
      <c r="N6" s="7" t="s">
        <v>73</v>
      </c>
    </row>
  </sheetData>
  <hyperlinks>
    <hyperlink r:id="rId1" ref="N2"/>
    <hyperlink r:id="rId2" ref="N3"/>
    <hyperlink r:id="rId3" ref="N4"/>
    <hyperlink r:id="rId4" ref="N5"/>
    <hyperlink r:id="rId5" ref="N6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4" max="4" width="15.25"/>
    <col customWidth="1" min="6" max="6" width="32.0"/>
    <col customWidth="1" min="7" max="7" width="31.75"/>
    <col customWidth="1" min="8" max="8" width="32.38"/>
    <col customWidth="1" min="9" max="9" width="26.0"/>
    <col customWidth="1" min="10" max="10" width="25.38"/>
  </cols>
  <sheetData>
    <row r="1" ht="22.5" customHeight="1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  <row r="2" ht="22.5" customHeight="1">
      <c r="A2" s="2" t="s">
        <v>82</v>
      </c>
      <c r="B2" s="2" t="s">
        <v>64</v>
      </c>
      <c r="C2" s="8">
        <v>46054.0</v>
      </c>
      <c r="D2" s="3">
        <v>1722.0</v>
      </c>
      <c r="E2" s="2" t="s">
        <v>83</v>
      </c>
      <c r="F2" s="3">
        <v>2410800.0</v>
      </c>
      <c r="G2" s="3">
        <v>3444000.0</v>
      </c>
      <c r="H2" s="3">
        <v>4477200.0</v>
      </c>
      <c r="I2" s="3">
        <v>1.722E8</v>
      </c>
      <c r="J2" s="2">
        <v>754.0</v>
      </c>
    </row>
    <row r="3" ht="22.5" customHeight="1">
      <c r="A3" s="2" t="s">
        <v>84</v>
      </c>
      <c r="B3" s="2" t="s">
        <v>53</v>
      </c>
      <c r="C3" s="9">
        <v>46064.0</v>
      </c>
      <c r="D3" s="2">
        <v>892.0</v>
      </c>
      <c r="E3" s="2" t="s">
        <v>85</v>
      </c>
      <c r="F3" s="3">
        <v>1248800.0</v>
      </c>
      <c r="G3" s="3">
        <v>1784000.0</v>
      </c>
      <c r="H3" s="3">
        <v>2319200.0</v>
      </c>
      <c r="I3" s="3">
        <v>8.92E7</v>
      </c>
      <c r="J3" s="2">
        <v>391.0</v>
      </c>
    </row>
    <row r="4" ht="22.5" customHeight="1">
      <c r="A4" s="2" t="s">
        <v>86</v>
      </c>
      <c r="B4" s="2" t="s">
        <v>87</v>
      </c>
      <c r="C4" s="9">
        <v>46063.0</v>
      </c>
      <c r="D4" s="2">
        <v>883.0</v>
      </c>
      <c r="E4" s="2" t="s">
        <v>85</v>
      </c>
      <c r="F4" s="3">
        <v>1236200.0</v>
      </c>
      <c r="G4" s="3">
        <v>1766000.0</v>
      </c>
      <c r="H4" s="3">
        <v>2295800.0</v>
      </c>
      <c r="I4" s="3">
        <v>8.83E7</v>
      </c>
      <c r="J4" s="2">
        <v>387.0</v>
      </c>
    </row>
    <row r="5" ht="22.5" customHeight="1">
      <c r="A5" s="2" t="s">
        <v>88</v>
      </c>
      <c r="B5" s="2" t="s">
        <v>44</v>
      </c>
      <c r="C5" s="9">
        <v>46059.0</v>
      </c>
      <c r="D5" s="2">
        <v>748.0</v>
      </c>
      <c r="E5" s="2" t="s">
        <v>85</v>
      </c>
      <c r="F5" s="3">
        <v>1047200.0</v>
      </c>
      <c r="G5" s="3">
        <v>1496000.0</v>
      </c>
      <c r="H5" s="3">
        <v>1944800.0</v>
      </c>
      <c r="I5" s="3">
        <v>7.48E7</v>
      </c>
      <c r="J5" s="2">
        <v>328.0</v>
      </c>
    </row>
    <row r="6" ht="22.5" customHeight="1">
      <c r="A6" s="2" t="s">
        <v>89</v>
      </c>
      <c r="B6" s="2" t="s">
        <v>69</v>
      </c>
      <c r="C6" s="9">
        <v>46064.0</v>
      </c>
      <c r="D6" s="2">
        <v>360.0</v>
      </c>
      <c r="E6" s="2" t="s">
        <v>90</v>
      </c>
      <c r="F6" s="3">
        <v>504000.0</v>
      </c>
      <c r="G6" s="3">
        <v>720000.0</v>
      </c>
      <c r="H6" s="3">
        <v>936000.0</v>
      </c>
      <c r="I6" s="3">
        <v>3.6E7</v>
      </c>
      <c r="J6" s="2">
        <v>158.0</v>
      </c>
    </row>
    <row r="12">
      <c r="A12" s="10" t="s">
        <v>91</v>
      </c>
    </row>
  </sheetData>
  <dataValidations>
    <dataValidation type="custom" allowBlank="1" showDropDown="1" sqref="F2:I6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88"/>
    <col customWidth="1" min="4" max="4" width="16.63"/>
  </cols>
  <sheetData>
    <row r="1" ht="22.5" customHeight="1">
      <c r="A1" s="11" t="s">
        <v>92</v>
      </c>
      <c r="B1" s="11" t="s">
        <v>93</v>
      </c>
      <c r="C1" s="12" t="s">
        <v>94</v>
      </c>
      <c r="D1" s="13" t="s">
        <v>95</v>
      </c>
    </row>
    <row r="2" ht="22.5" customHeight="1">
      <c r="A2" s="14" t="s">
        <v>96</v>
      </c>
      <c r="B2" s="2">
        <v>6.0</v>
      </c>
      <c r="C2" s="15" t="s">
        <v>97</v>
      </c>
      <c r="D2" s="16" t="b">
        <v>1</v>
      </c>
    </row>
    <row r="3" ht="22.5" customHeight="1">
      <c r="A3" s="14" t="s">
        <v>88</v>
      </c>
      <c r="C3" s="15" t="s">
        <v>98</v>
      </c>
      <c r="D3" s="16" t="b">
        <v>1</v>
      </c>
    </row>
    <row r="4" ht="22.5" customHeight="1">
      <c r="A4" s="14" t="s">
        <v>99</v>
      </c>
      <c r="C4" s="15" t="s">
        <v>100</v>
      </c>
      <c r="D4" s="16" t="b">
        <v>0</v>
      </c>
    </row>
    <row r="5" ht="22.5" customHeight="1">
      <c r="A5" s="14" t="s">
        <v>86</v>
      </c>
      <c r="C5" s="15" t="s">
        <v>100</v>
      </c>
      <c r="D5" s="16" t="b">
        <v>0</v>
      </c>
    </row>
    <row r="6" ht="22.5" customHeight="1">
      <c r="A6" s="14" t="s">
        <v>82</v>
      </c>
      <c r="C6" s="15" t="s">
        <v>101</v>
      </c>
      <c r="D6" s="16" t="b">
        <v>0</v>
      </c>
    </row>
    <row r="7" ht="22.5" customHeight="1">
      <c r="A7" s="14" t="s">
        <v>84</v>
      </c>
      <c r="C7" s="15" t="s">
        <v>102</v>
      </c>
      <c r="D7" s="16" t="b">
        <v>0</v>
      </c>
    </row>
    <row r="8" ht="22.5" customHeight="1">
      <c r="A8" s="14" t="s">
        <v>89</v>
      </c>
      <c r="B8" s="2">
        <v>1.0</v>
      </c>
      <c r="C8" s="15" t="s">
        <v>103</v>
      </c>
      <c r="D8" s="16" t="b">
        <v>1</v>
      </c>
    </row>
    <row r="9" ht="22.5" customHeight="1">
      <c r="A9" s="17" t="s">
        <v>104</v>
      </c>
      <c r="B9" s="18"/>
      <c r="C9" s="19">
        <v>45566.0</v>
      </c>
      <c r="D9" s="16" t="b">
        <v>0</v>
      </c>
    </row>
    <row r="10" ht="22.5" customHeight="1">
      <c r="A10" s="17" t="s">
        <v>105</v>
      </c>
      <c r="B10" s="18"/>
      <c r="C10" s="20">
        <v>2001.0</v>
      </c>
      <c r="D10" s="16" t="b">
        <v>0</v>
      </c>
    </row>
    <row r="11" ht="22.5" customHeight="1">
      <c r="A11" s="17" t="s">
        <v>106</v>
      </c>
      <c r="B11" s="18"/>
      <c r="C11" s="19">
        <v>45931.0</v>
      </c>
      <c r="D11" s="16" t="b">
        <v>0</v>
      </c>
    </row>
    <row r="12" ht="22.5" customHeight="1">
      <c r="A12" s="17" t="s">
        <v>107</v>
      </c>
      <c r="B12" s="18"/>
      <c r="C12" s="20">
        <v>2024.0</v>
      </c>
      <c r="D12" s="16" t="b">
        <v>0</v>
      </c>
    </row>
    <row r="13" ht="22.5" customHeight="1">
      <c r="A13" s="17" t="s">
        <v>108</v>
      </c>
      <c r="B13" s="21">
        <v>1.0</v>
      </c>
      <c r="C13" s="20" t="s">
        <v>109</v>
      </c>
      <c r="D13" s="16" t="b">
        <v>1</v>
      </c>
    </row>
    <row r="14" ht="22.5" customHeight="1">
      <c r="A14" s="17" t="s">
        <v>110</v>
      </c>
      <c r="B14" s="21">
        <v>1.0</v>
      </c>
      <c r="C14" s="20" t="s">
        <v>109</v>
      </c>
      <c r="D14" s="16" t="b">
        <v>1</v>
      </c>
    </row>
    <row r="15" ht="22.5" customHeight="1">
      <c r="A15" s="17" t="s">
        <v>111</v>
      </c>
      <c r="B15" s="21">
        <v>1.0</v>
      </c>
      <c r="C15" s="20" t="s">
        <v>109</v>
      </c>
      <c r="D15" s="16" t="b">
        <v>1</v>
      </c>
    </row>
    <row r="16">
      <c r="C16" s="22"/>
    </row>
    <row r="17">
      <c r="C17" s="22"/>
    </row>
    <row r="18">
      <c r="C18" s="22"/>
    </row>
    <row r="19">
      <c r="C19" s="22"/>
    </row>
    <row r="20">
      <c r="C20" s="22"/>
    </row>
    <row r="21">
      <c r="C21" s="22"/>
    </row>
    <row r="22">
      <c r="C22" s="22"/>
    </row>
    <row r="23">
      <c r="C23" s="22"/>
    </row>
    <row r="24">
      <c r="C24" s="22"/>
    </row>
    <row r="25">
      <c r="C25" s="22"/>
    </row>
    <row r="26">
      <c r="C26" s="22"/>
    </row>
    <row r="27">
      <c r="C27" s="22"/>
    </row>
    <row r="28">
      <c r="C28" s="22"/>
    </row>
    <row r="29">
      <c r="C29" s="22"/>
    </row>
    <row r="30">
      <c r="C30" s="22"/>
    </row>
    <row r="31">
      <c r="C31" s="22"/>
    </row>
    <row r="32">
      <c r="C32" s="22"/>
    </row>
    <row r="33">
      <c r="C33" s="22"/>
    </row>
    <row r="34">
      <c r="C34" s="22"/>
    </row>
    <row r="35">
      <c r="C35" s="22"/>
    </row>
    <row r="36">
      <c r="C36" s="22"/>
    </row>
    <row r="37">
      <c r="C37" s="22"/>
    </row>
    <row r="38">
      <c r="C38" s="22"/>
    </row>
    <row r="39">
      <c r="C39" s="22"/>
    </row>
    <row r="40">
      <c r="C40" s="22"/>
    </row>
    <row r="41">
      <c r="C41" s="22"/>
    </row>
    <row r="42">
      <c r="C42" s="22"/>
    </row>
    <row r="43">
      <c r="C43" s="22"/>
    </row>
    <row r="44">
      <c r="C44" s="22"/>
    </row>
    <row r="45">
      <c r="C45" s="22"/>
    </row>
    <row r="46">
      <c r="C46" s="22"/>
    </row>
    <row r="47">
      <c r="C47" s="22"/>
    </row>
    <row r="48">
      <c r="C48" s="22"/>
    </row>
    <row r="49">
      <c r="C49" s="22"/>
    </row>
    <row r="50">
      <c r="C50" s="22"/>
    </row>
    <row r="51">
      <c r="C51" s="22"/>
    </row>
    <row r="52">
      <c r="C52" s="22"/>
    </row>
    <row r="53">
      <c r="C53" s="22"/>
    </row>
    <row r="54">
      <c r="C54" s="22"/>
    </row>
    <row r="55">
      <c r="C55" s="22"/>
    </row>
    <row r="56">
      <c r="C56" s="22"/>
    </row>
    <row r="57">
      <c r="C57" s="22"/>
    </row>
    <row r="58">
      <c r="C58" s="22"/>
    </row>
    <row r="59">
      <c r="C59" s="22"/>
    </row>
    <row r="60">
      <c r="C60" s="22"/>
    </row>
    <row r="61">
      <c r="C61" s="22"/>
    </row>
    <row r="62">
      <c r="C62" s="22"/>
    </row>
    <row r="63">
      <c r="C63" s="22"/>
    </row>
    <row r="64">
      <c r="C64" s="22"/>
    </row>
    <row r="65">
      <c r="C65" s="22"/>
    </row>
    <row r="66">
      <c r="C66" s="22"/>
    </row>
    <row r="67">
      <c r="C67" s="22"/>
    </row>
    <row r="68">
      <c r="C68" s="22"/>
    </row>
    <row r="69">
      <c r="C69" s="22"/>
    </row>
    <row r="70">
      <c r="C70" s="22"/>
    </row>
    <row r="71">
      <c r="C71" s="22"/>
    </row>
    <row r="72">
      <c r="C72" s="22"/>
    </row>
    <row r="73">
      <c r="C73" s="22"/>
    </row>
    <row r="74">
      <c r="C74" s="22"/>
    </row>
    <row r="75">
      <c r="C75" s="22"/>
    </row>
    <row r="76">
      <c r="C76" s="22"/>
    </row>
    <row r="77">
      <c r="C77" s="22"/>
    </row>
    <row r="78">
      <c r="C78" s="22"/>
    </row>
    <row r="79">
      <c r="C79" s="22"/>
    </row>
    <row r="80">
      <c r="C80" s="22"/>
    </row>
    <row r="81">
      <c r="C81" s="22"/>
    </row>
    <row r="82">
      <c r="C82" s="22"/>
    </row>
    <row r="83">
      <c r="C83" s="22"/>
    </row>
    <row r="84">
      <c r="C84" s="22"/>
    </row>
    <row r="85">
      <c r="C85" s="22"/>
    </row>
    <row r="86">
      <c r="C86" s="22"/>
    </row>
    <row r="87">
      <c r="C87" s="22"/>
    </row>
    <row r="88">
      <c r="C88" s="22"/>
    </row>
    <row r="89">
      <c r="C89" s="22"/>
    </row>
    <row r="90">
      <c r="C90" s="22"/>
    </row>
    <row r="91">
      <c r="C91" s="22"/>
    </row>
    <row r="92">
      <c r="C92" s="22"/>
    </row>
    <row r="93">
      <c r="C93" s="22"/>
    </row>
    <row r="94">
      <c r="C94" s="22"/>
    </row>
    <row r="95">
      <c r="C95" s="22"/>
    </row>
    <row r="96">
      <c r="C96" s="22"/>
    </row>
    <row r="97">
      <c r="C97" s="22"/>
    </row>
    <row r="98">
      <c r="C98" s="22"/>
    </row>
    <row r="99">
      <c r="C99" s="22"/>
    </row>
    <row r="100">
      <c r="C100" s="22"/>
    </row>
    <row r="101">
      <c r="C101" s="22"/>
    </row>
    <row r="102">
      <c r="C102" s="22"/>
    </row>
    <row r="103">
      <c r="C103" s="22"/>
    </row>
    <row r="104">
      <c r="C104" s="22"/>
    </row>
    <row r="105">
      <c r="C105" s="22"/>
    </row>
    <row r="106">
      <c r="C106" s="22"/>
    </row>
    <row r="107">
      <c r="C107" s="22"/>
    </row>
    <row r="108">
      <c r="C108" s="22"/>
    </row>
    <row r="109">
      <c r="C109" s="22"/>
    </row>
    <row r="110">
      <c r="C110" s="22"/>
    </row>
    <row r="111">
      <c r="C111" s="22"/>
    </row>
    <row r="112">
      <c r="C112" s="22"/>
    </row>
    <row r="113">
      <c r="C113" s="22"/>
    </row>
    <row r="114">
      <c r="C114" s="22"/>
    </row>
    <row r="115">
      <c r="C115" s="22"/>
    </row>
    <row r="116">
      <c r="C116" s="22"/>
    </row>
    <row r="117">
      <c r="C117" s="22"/>
    </row>
    <row r="118">
      <c r="C118" s="22"/>
    </row>
    <row r="119">
      <c r="C119" s="22"/>
    </row>
    <row r="120">
      <c r="C120" s="22"/>
    </row>
    <row r="121">
      <c r="C121" s="22"/>
    </row>
    <row r="122">
      <c r="C122" s="22"/>
    </row>
    <row r="123">
      <c r="C123" s="22"/>
    </row>
    <row r="124">
      <c r="C124" s="22"/>
    </row>
    <row r="125">
      <c r="C125" s="22"/>
    </row>
    <row r="126">
      <c r="C126" s="22"/>
    </row>
    <row r="127">
      <c r="C127" s="22"/>
    </row>
    <row r="128">
      <c r="C128" s="22"/>
    </row>
    <row r="129">
      <c r="C129" s="22"/>
    </row>
    <row r="130">
      <c r="C130" s="22"/>
    </row>
    <row r="131">
      <c r="C131" s="22"/>
    </row>
    <row r="132">
      <c r="C132" s="22"/>
    </row>
    <row r="133">
      <c r="C133" s="22"/>
    </row>
    <row r="134">
      <c r="C134" s="22"/>
    </row>
    <row r="135">
      <c r="C135" s="22"/>
    </row>
    <row r="136">
      <c r="C136" s="22"/>
    </row>
    <row r="137">
      <c r="C137" s="22"/>
    </row>
    <row r="138">
      <c r="C138" s="22"/>
    </row>
    <row r="139">
      <c r="C139" s="22"/>
    </row>
    <row r="140">
      <c r="C140" s="22"/>
    </row>
    <row r="141">
      <c r="C141" s="22"/>
    </row>
    <row r="142">
      <c r="C142" s="22"/>
    </row>
    <row r="143">
      <c r="C143" s="22"/>
    </row>
    <row r="144">
      <c r="C144" s="22"/>
    </row>
    <row r="145">
      <c r="C145" s="22"/>
    </row>
    <row r="146">
      <c r="C146" s="22"/>
    </row>
    <row r="147">
      <c r="C147" s="22"/>
    </row>
    <row r="148">
      <c r="C148" s="22"/>
    </row>
    <row r="149">
      <c r="C149" s="22"/>
    </row>
    <row r="150">
      <c r="C150" s="22"/>
    </row>
    <row r="151">
      <c r="C151" s="22"/>
    </row>
    <row r="152">
      <c r="C152" s="22"/>
    </row>
    <row r="153">
      <c r="C153" s="22"/>
    </row>
    <row r="154">
      <c r="C154" s="22"/>
    </row>
    <row r="155">
      <c r="C155" s="22"/>
    </row>
    <row r="156">
      <c r="C156" s="22"/>
    </row>
    <row r="157">
      <c r="C157" s="22"/>
    </row>
    <row r="158">
      <c r="C158" s="22"/>
    </row>
    <row r="159">
      <c r="C159" s="22"/>
    </row>
    <row r="160">
      <c r="C160" s="22"/>
    </row>
    <row r="161">
      <c r="C161" s="22"/>
    </row>
    <row r="162">
      <c r="C162" s="22"/>
    </row>
    <row r="163">
      <c r="C163" s="22"/>
    </row>
    <row r="164">
      <c r="C164" s="22"/>
    </row>
    <row r="165">
      <c r="C165" s="22"/>
    </row>
    <row r="166">
      <c r="C166" s="22"/>
    </row>
    <row r="167">
      <c r="C167" s="22"/>
    </row>
    <row r="168">
      <c r="C168" s="22"/>
    </row>
    <row r="169">
      <c r="C169" s="22"/>
    </row>
    <row r="170">
      <c r="C170" s="22"/>
    </row>
    <row r="171">
      <c r="C171" s="22"/>
    </row>
    <row r="172">
      <c r="C172" s="22"/>
    </row>
    <row r="173">
      <c r="C173" s="22"/>
    </row>
    <row r="174">
      <c r="C174" s="22"/>
    </row>
    <row r="175">
      <c r="C175" s="22"/>
    </row>
    <row r="176">
      <c r="C176" s="22"/>
    </row>
    <row r="177">
      <c r="C177" s="22"/>
    </row>
    <row r="178">
      <c r="C178" s="22"/>
    </row>
    <row r="179">
      <c r="C179" s="22"/>
    </row>
    <row r="180">
      <c r="C180" s="22"/>
    </row>
    <row r="181">
      <c r="C181" s="22"/>
    </row>
    <row r="182">
      <c r="C182" s="22"/>
    </row>
    <row r="183">
      <c r="C183" s="22"/>
    </row>
    <row r="184">
      <c r="C184" s="22"/>
    </row>
    <row r="185">
      <c r="C185" s="22"/>
    </row>
    <row r="186">
      <c r="C186" s="22"/>
    </row>
    <row r="187">
      <c r="C187" s="22"/>
    </row>
    <row r="188">
      <c r="C188" s="22"/>
    </row>
    <row r="189">
      <c r="C189" s="22"/>
    </row>
    <row r="190">
      <c r="C190" s="22"/>
    </row>
    <row r="191">
      <c r="C191" s="22"/>
    </row>
    <row r="192">
      <c r="C192" s="22"/>
    </row>
    <row r="193">
      <c r="C193" s="22"/>
    </row>
    <row r="194">
      <c r="C194" s="22"/>
    </row>
    <row r="195">
      <c r="C195" s="22"/>
    </row>
    <row r="196">
      <c r="C196" s="22"/>
    </row>
    <row r="197">
      <c r="C197" s="22"/>
    </row>
    <row r="198">
      <c r="C198" s="22"/>
    </row>
    <row r="199">
      <c r="C199" s="22"/>
    </row>
    <row r="200">
      <c r="C200" s="22"/>
    </row>
    <row r="201">
      <c r="C201" s="22"/>
    </row>
    <row r="202">
      <c r="C202" s="22"/>
    </row>
    <row r="203">
      <c r="C203" s="22"/>
    </row>
    <row r="204">
      <c r="C204" s="22"/>
    </row>
    <row r="205">
      <c r="C205" s="22"/>
    </row>
    <row r="206">
      <c r="C206" s="22"/>
    </row>
    <row r="207">
      <c r="C207" s="22"/>
    </row>
    <row r="208">
      <c r="C208" s="22"/>
    </row>
    <row r="209">
      <c r="C209" s="22"/>
    </row>
    <row r="210">
      <c r="C210" s="22"/>
    </row>
    <row r="211">
      <c r="C211" s="22"/>
    </row>
    <row r="212">
      <c r="C212" s="22"/>
    </row>
    <row r="213">
      <c r="C213" s="22"/>
    </row>
    <row r="214">
      <c r="C214" s="22"/>
    </row>
    <row r="215">
      <c r="C215" s="22"/>
    </row>
    <row r="216">
      <c r="C216" s="22"/>
    </row>
    <row r="217">
      <c r="C217" s="22"/>
    </row>
    <row r="218">
      <c r="C218" s="22"/>
    </row>
    <row r="219">
      <c r="C219" s="22"/>
    </row>
    <row r="220">
      <c r="C220" s="22"/>
    </row>
    <row r="221">
      <c r="C221" s="22"/>
    </row>
    <row r="222">
      <c r="C222" s="22"/>
    </row>
    <row r="223">
      <c r="C223" s="22"/>
    </row>
    <row r="224">
      <c r="C224" s="22"/>
    </row>
    <row r="225">
      <c r="C225" s="22"/>
    </row>
    <row r="226">
      <c r="C226" s="22"/>
    </row>
    <row r="227">
      <c r="C227" s="22"/>
    </row>
    <row r="228">
      <c r="C228" s="22"/>
    </row>
    <row r="229">
      <c r="C229" s="22"/>
    </row>
    <row r="230">
      <c r="C230" s="22"/>
    </row>
    <row r="231">
      <c r="C231" s="22"/>
    </row>
    <row r="232">
      <c r="C232" s="22"/>
    </row>
    <row r="233">
      <c r="C233" s="22"/>
    </row>
    <row r="234">
      <c r="C234" s="22"/>
    </row>
    <row r="235">
      <c r="C235" s="22"/>
    </row>
    <row r="236">
      <c r="C236" s="22"/>
    </row>
    <row r="237">
      <c r="C237" s="22"/>
    </row>
    <row r="238">
      <c r="C238" s="22"/>
    </row>
    <row r="239">
      <c r="C239" s="22"/>
    </row>
    <row r="240">
      <c r="C240" s="22"/>
    </row>
    <row r="241">
      <c r="C241" s="22"/>
    </row>
    <row r="242">
      <c r="C242" s="22"/>
    </row>
    <row r="243">
      <c r="C243" s="22"/>
    </row>
    <row r="244">
      <c r="C244" s="22"/>
    </row>
    <row r="245">
      <c r="C245" s="22"/>
    </row>
    <row r="246">
      <c r="C246" s="22"/>
    </row>
    <row r="247">
      <c r="C247" s="22"/>
    </row>
    <row r="248">
      <c r="C248" s="22"/>
    </row>
    <row r="249">
      <c r="C249" s="22"/>
    </row>
    <row r="250">
      <c r="C250" s="22"/>
    </row>
    <row r="251">
      <c r="C251" s="22"/>
    </row>
    <row r="252">
      <c r="C252" s="22"/>
    </row>
    <row r="253">
      <c r="C253" s="22"/>
    </row>
    <row r="254">
      <c r="C254" s="22"/>
    </row>
    <row r="255">
      <c r="C255" s="22"/>
    </row>
    <row r="256">
      <c r="C256" s="22"/>
    </row>
    <row r="257">
      <c r="C257" s="22"/>
    </row>
    <row r="258">
      <c r="C258" s="22"/>
    </row>
    <row r="259">
      <c r="C259" s="22"/>
    </row>
    <row r="260">
      <c r="C260" s="22"/>
    </row>
    <row r="261">
      <c r="C261" s="22"/>
    </row>
    <row r="262">
      <c r="C262" s="22"/>
    </row>
    <row r="263">
      <c r="C263" s="22"/>
    </row>
    <row r="264">
      <c r="C264" s="22"/>
    </row>
    <row r="265">
      <c r="C265" s="22"/>
    </row>
    <row r="266">
      <c r="C266" s="22"/>
    </row>
    <row r="267">
      <c r="C267" s="22"/>
    </row>
    <row r="268">
      <c r="C268" s="22"/>
    </row>
    <row r="269">
      <c r="C269" s="22"/>
    </row>
    <row r="270">
      <c r="C270" s="22"/>
    </row>
    <row r="271">
      <c r="C271" s="22"/>
    </row>
    <row r="272">
      <c r="C272" s="22"/>
    </row>
    <row r="273">
      <c r="C273" s="22"/>
    </row>
    <row r="274">
      <c r="C274" s="22"/>
    </row>
    <row r="275">
      <c r="C275" s="22"/>
    </row>
    <row r="276">
      <c r="C276" s="22"/>
    </row>
    <row r="277">
      <c r="C277" s="22"/>
    </row>
    <row r="278">
      <c r="C278" s="22"/>
    </row>
    <row r="279">
      <c r="C279" s="22"/>
    </row>
    <row r="280">
      <c r="C280" s="22"/>
    </row>
    <row r="281">
      <c r="C281" s="22"/>
    </row>
    <row r="282">
      <c r="C282" s="22"/>
    </row>
    <row r="283">
      <c r="C283" s="22"/>
    </row>
    <row r="284">
      <c r="C284" s="22"/>
    </row>
    <row r="285">
      <c r="C285" s="22"/>
    </row>
    <row r="286">
      <c r="C286" s="22"/>
    </row>
    <row r="287">
      <c r="C287" s="22"/>
    </row>
    <row r="288">
      <c r="C288" s="22"/>
    </row>
    <row r="289">
      <c r="C289" s="22"/>
    </row>
    <row r="290">
      <c r="C290" s="22"/>
    </row>
    <row r="291">
      <c r="C291" s="22"/>
    </row>
    <row r="292">
      <c r="C292" s="22"/>
    </row>
    <row r="293">
      <c r="C293" s="22"/>
    </row>
    <row r="294">
      <c r="C294" s="22"/>
    </row>
    <row r="295">
      <c r="C295" s="22"/>
    </row>
    <row r="296">
      <c r="C296" s="22"/>
    </row>
    <row r="297">
      <c r="C297" s="22"/>
    </row>
    <row r="298">
      <c r="C298" s="22"/>
    </row>
    <row r="299">
      <c r="C299" s="22"/>
    </row>
    <row r="300">
      <c r="C300" s="22"/>
    </row>
    <row r="301">
      <c r="C301" s="22"/>
    </row>
    <row r="302">
      <c r="C302" s="22"/>
    </row>
    <row r="303">
      <c r="C303" s="22"/>
    </row>
    <row r="304">
      <c r="C304" s="22"/>
    </row>
    <row r="305">
      <c r="C305" s="22"/>
    </row>
    <row r="306">
      <c r="C306" s="22"/>
    </row>
    <row r="307">
      <c r="C307" s="22"/>
    </row>
    <row r="308">
      <c r="C308" s="22"/>
    </row>
    <row r="309">
      <c r="C309" s="22"/>
    </row>
    <row r="310">
      <c r="C310" s="22"/>
    </row>
    <row r="311">
      <c r="C311" s="22"/>
    </row>
    <row r="312">
      <c r="C312" s="22"/>
    </row>
    <row r="313">
      <c r="C313" s="22"/>
    </row>
    <row r="314">
      <c r="C314" s="22"/>
    </row>
    <row r="315">
      <c r="C315" s="22"/>
    </row>
    <row r="316">
      <c r="C316" s="22"/>
    </row>
    <row r="317">
      <c r="C317" s="22"/>
    </row>
    <row r="318">
      <c r="C318" s="22"/>
    </row>
    <row r="319">
      <c r="C319" s="22"/>
    </row>
    <row r="320">
      <c r="C320" s="22"/>
    </row>
    <row r="321">
      <c r="C321" s="22"/>
    </row>
    <row r="322">
      <c r="C322" s="22"/>
    </row>
    <row r="323">
      <c r="C323" s="22"/>
    </row>
    <row r="324">
      <c r="C324" s="22"/>
    </row>
    <row r="325">
      <c r="C325" s="22"/>
    </row>
    <row r="326">
      <c r="C326" s="22"/>
    </row>
    <row r="327">
      <c r="C327" s="22"/>
    </row>
    <row r="328">
      <c r="C328" s="22"/>
    </row>
    <row r="329">
      <c r="C329" s="22"/>
    </row>
    <row r="330">
      <c r="C330" s="22"/>
    </row>
    <row r="331">
      <c r="C331" s="22"/>
    </row>
    <row r="332">
      <c r="C332" s="22"/>
    </row>
    <row r="333">
      <c r="C333" s="22"/>
    </row>
    <row r="334">
      <c r="C334" s="22"/>
    </row>
    <row r="335">
      <c r="C335" s="22"/>
    </row>
    <row r="336">
      <c r="C336" s="22"/>
    </row>
    <row r="337">
      <c r="C337" s="22"/>
    </row>
    <row r="338">
      <c r="C338" s="22"/>
    </row>
    <row r="339">
      <c r="C339" s="22"/>
    </row>
    <row r="340">
      <c r="C340" s="22"/>
    </row>
    <row r="341">
      <c r="C341" s="22"/>
    </row>
    <row r="342">
      <c r="C342" s="22"/>
    </row>
    <row r="343">
      <c r="C343" s="22"/>
    </row>
    <row r="344">
      <c r="C344" s="22"/>
    </row>
    <row r="345">
      <c r="C345" s="22"/>
    </row>
    <row r="346">
      <c r="C346" s="22"/>
    </row>
    <row r="347">
      <c r="C347" s="22"/>
    </row>
    <row r="348">
      <c r="C348" s="22"/>
    </row>
    <row r="349">
      <c r="C349" s="22"/>
    </row>
    <row r="350">
      <c r="C350" s="22"/>
    </row>
    <row r="351">
      <c r="C351" s="22"/>
    </row>
    <row r="352">
      <c r="C352" s="22"/>
    </row>
    <row r="353">
      <c r="C353" s="22"/>
    </row>
    <row r="354">
      <c r="C354" s="22"/>
    </row>
    <row r="355">
      <c r="C355" s="22"/>
    </row>
    <row r="356">
      <c r="C356" s="22"/>
    </row>
    <row r="357">
      <c r="C357" s="22"/>
    </row>
    <row r="358">
      <c r="C358" s="22"/>
    </row>
    <row r="359">
      <c r="C359" s="22"/>
    </row>
    <row r="360">
      <c r="C360" s="22"/>
    </row>
    <row r="361">
      <c r="C361" s="22"/>
    </row>
    <row r="362">
      <c r="C362" s="22"/>
    </row>
    <row r="363">
      <c r="C363" s="22"/>
    </row>
    <row r="364">
      <c r="C364" s="22"/>
    </row>
    <row r="365">
      <c r="C365" s="22"/>
    </row>
    <row r="366">
      <c r="C366" s="22"/>
    </row>
    <row r="367">
      <c r="C367" s="22"/>
    </row>
    <row r="368">
      <c r="C368" s="22"/>
    </row>
    <row r="369">
      <c r="C369" s="22"/>
    </row>
    <row r="370">
      <c r="C370" s="22"/>
    </row>
    <row r="371">
      <c r="C371" s="22"/>
    </row>
    <row r="372">
      <c r="C372" s="22"/>
    </row>
    <row r="373">
      <c r="C373" s="22"/>
    </row>
    <row r="374">
      <c r="C374" s="22"/>
    </row>
    <row r="375">
      <c r="C375" s="22"/>
    </row>
    <row r="376">
      <c r="C376" s="22"/>
    </row>
    <row r="377">
      <c r="C377" s="22"/>
    </row>
    <row r="378">
      <c r="C378" s="22"/>
    </row>
    <row r="379">
      <c r="C379" s="22"/>
    </row>
    <row r="380">
      <c r="C380" s="22"/>
    </row>
    <row r="381">
      <c r="C381" s="22"/>
    </row>
    <row r="382">
      <c r="C382" s="22"/>
    </row>
    <row r="383">
      <c r="C383" s="22"/>
    </row>
    <row r="384">
      <c r="C384" s="22"/>
    </row>
    <row r="385">
      <c r="C385" s="22"/>
    </row>
    <row r="386">
      <c r="C386" s="22"/>
    </row>
    <row r="387">
      <c r="C387" s="22"/>
    </row>
    <row r="388">
      <c r="C388" s="22"/>
    </row>
    <row r="389">
      <c r="C389" s="22"/>
    </row>
    <row r="390">
      <c r="C390" s="22"/>
    </row>
    <row r="391">
      <c r="C391" s="22"/>
    </row>
    <row r="392">
      <c r="C392" s="22"/>
    </row>
    <row r="393">
      <c r="C393" s="22"/>
    </row>
    <row r="394">
      <c r="C394" s="22"/>
    </row>
    <row r="395">
      <c r="C395" s="22"/>
    </row>
    <row r="396">
      <c r="C396" s="22"/>
    </row>
    <row r="397">
      <c r="C397" s="22"/>
    </row>
    <row r="398">
      <c r="C398" s="22"/>
    </row>
    <row r="399">
      <c r="C399" s="22"/>
    </row>
    <row r="400">
      <c r="C400" s="22"/>
    </row>
    <row r="401">
      <c r="C401" s="22"/>
    </row>
    <row r="402">
      <c r="C402" s="22"/>
    </row>
    <row r="403">
      <c r="C403" s="22"/>
    </row>
    <row r="404">
      <c r="C404" s="22"/>
    </row>
    <row r="405">
      <c r="C405" s="22"/>
    </row>
    <row r="406">
      <c r="C406" s="22"/>
    </row>
    <row r="407">
      <c r="C407" s="22"/>
    </row>
    <row r="408">
      <c r="C408" s="22"/>
    </row>
    <row r="409">
      <c r="C409" s="22"/>
    </row>
    <row r="410">
      <c r="C410" s="22"/>
    </row>
    <row r="411">
      <c r="C411" s="22"/>
    </row>
    <row r="412">
      <c r="C412" s="22"/>
    </row>
    <row r="413">
      <c r="C413" s="22"/>
    </row>
    <row r="414">
      <c r="C414" s="22"/>
    </row>
    <row r="415">
      <c r="C415" s="22"/>
    </row>
    <row r="416">
      <c r="C416" s="22"/>
    </row>
    <row r="417">
      <c r="C417" s="22"/>
    </row>
    <row r="418">
      <c r="C418" s="22"/>
    </row>
    <row r="419">
      <c r="C419" s="22"/>
    </row>
    <row r="420">
      <c r="C420" s="22"/>
    </row>
    <row r="421">
      <c r="C421" s="22"/>
    </row>
    <row r="422">
      <c r="C422" s="22"/>
    </row>
    <row r="423">
      <c r="C423" s="22"/>
    </row>
    <row r="424">
      <c r="C424" s="22"/>
    </row>
    <row r="425">
      <c r="C425" s="22"/>
    </row>
    <row r="426">
      <c r="C426" s="22"/>
    </row>
    <row r="427">
      <c r="C427" s="22"/>
    </row>
    <row r="428">
      <c r="C428" s="22"/>
    </row>
    <row r="429">
      <c r="C429" s="22"/>
    </row>
    <row r="430">
      <c r="C430" s="22"/>
    </row>
    <row r="431">
      <c r="C431" s="22"/>
    </row>
    <row r="432">
      <c r="C432" s="22"/>
    </row>
    <row r="433">
      <c r="C433" s="22"/>
    </row>
    <row r="434">
      <c r="C434" s="22"/>
    </row>
    <row r="435">
      <c r="C435" s="22"/>
    </row>
    <row r="436">
      <c r="C436" s="22"/>
    </row>
    <row r="437">
      <c r="C437" s="22"/>
    </row>
    <row r="438">
      <c r="C438" s="22"/>
    </row>
    <row r="439">
      <c r="C439" s="22"/>
    </row>
    <row r="440">
      <c r="C440" s="22"/>
    </row>
    <row r="441">
      <c r="C441" s="22"/>
    </row>
    <row r="442">
      <c r="C442" s="22"/>
    </row>
    <row r="443">
      <c r="C443" s="22"/>
    </row>
    <row r="444">
      <c r="C444" s="22"/>
    </row>
    <row r="445">
      <c r="C445" s="22"/>
    </row>
    <row r="446">
      <c r="C446" s="22"/>
    </row>
    <row r="447">
      <c r="C447" s="22"/>
    </row>
    <row r="448">
      <c r="C448" s="22"/>
    </row>
    <row r="449">
      <c r="C449" s="22"/>
    </row>
    <row r="450">
      <c r="C450" s="22"/>
    </row>
    <row r="451">
      <c r="C451" s="22"/>
    </row>
    <row r="452">
      <c r="C452" s="22"/>
    </row>
    <row r="453">
      <c r="C453" s="22"/>
    </row>
    <row r="454">
      <c r="C454" s="22"/>
    </row>
    <row r="455">
      <c r="C455" s="22"/>
    </row>
    <row r="456">
      <c r="C456" s="22"/>
    </row>
    <row r="457">
      <c r="C457" s="22"/>
    </row>
    <row r="458">
      <c r="C458" s="22"/>
    </row>
    <row r="459">
      <c r="C459" s="22"/>
    </row>
    <row r="460">
      <c r="C460" s="22"/>
    </row>
    <row r="461">
      <c r="C461" s="22"/>
    </row>
    <row r="462">
      <c r="C462" s="22"/>
    </row>
    <row r="463">
      <c r="C463" s="22"/>
    </row>
    <row r="464">
      <c r="C464" s="22"/>
    </row>
    <row r="465">
      <c r="C465" s="22"/>
    </row>
    <row r="466">
      <c r="C466" s="22"/>
    </row>
    <row r="467">
      <c r="C467" s="22"/>
    </row>
    <row r="468">
      <c r="C468" s="22"/>
    </row>
    <row r="469">
      <c r="C469" s="22"/>
    </row>
    <row r="470">
      <c r="C470" s="22"/>
    </row>
    <row r="471">
      <c r="C471" s="22"/>
    </row>
    <row r="472">
      <c r="C472" s="22"/>
    </row>
    <row r="473">
      <c r="C473" s="22"/>
    </row>
    <row r="474">
      <c r="C474" s="22"/>
    </row>
    <row r="475">
      <c r="C475" s="22"/>
    </row>
    <row r="476">
      <c r="C476" s="22"/>
    </row>
    <row r="477">
      <c r="C477" s="22"/>
    </row>
    <row r="478">
      <c r="C478" s="22"/>
    </row>
    <row r="479">
      <c r="C479" s="22"/>
    </row>
    <row r="480">
      <c r="C480" s="22"/>
    </row>
    <row r="481">
      <c r="C481" s="22"/>
    </row>
    <row r="482">
      <c r="C482" s="22"/>
    </row>
    <row r="483">
      <c r="C483" s="22"/>
    </row>
    <row r="484">
      <c r="C484" s="22"/>
    </row>
    <row r="485">
      <c r="C485" s="22"/>
    </row>
    <row r="486">
      <c r="C486" s="22"/>
    </row>
    <row r="487">
      <c r="C487" s="22"/>
    </row>
    <row r="488">
      <c r="C488" s="22"/>
    </row>
    <row r="489">
      <c r="C489" s="22"/>
    </row>
    <row r="490">
      <c r="C490" s="22"/>
    </row>
    <row r="491">
      <c r="C491" s="22"/>
    </row>
    <row r="492">
      <c r="C492" s="22"/>
    </row>
    <row r="493">
      <c r="C493" s="22"/>
    </row>
    <row r="494">
      <c r="C494" s="22"/>
    </row>
    <row r="495">
      <c r="C495" s="22"/>
    </row>
    <row r="496">
      <c r="C496" s="22"/>
    </row>
    <row r="497">
      <c r="C497" s="22"/>
    </row>
    <row r="498">
      <c r="C498" s="22"/>
    </row>
    <row r="499">
      <c r="C499" s="22"/>
    </row>
    <row r="500">
      <c r="C500" s="22"/>
    </row>
    <row r="501">
      <c r="C501" s="22"/>
    </row>
    <row r="502">
      <c r="C502" s="22"/>
    </row>
    <row r="503">
      <c r="C503" s="22"/>
    </row>
    <row r="504">
      <c r="C504" s="22"/>
    </row>
    <row r="505">
      <c r="C505" s="22"/>
    </row>
    <row r="506">
      <c r="C506" s="22"/>
    </row>
    <row r="507">
      <c r="C507" s="22"/>
    </row>
    <row r="508">
      <c r="C508" s="22"/>
    </row>
    <row r="509">
      <c r="C509" s="22"/>
    </row>
    <row r="510">
      <c r="C510" s="22"/>
    </row>
    <row r="511">
      <c r="C511" s="22"/>
    </row>
    <row r="512">
      <c r="C512" s="22"/>
    </row>
    <row r="513">
      <c r="C513" s="22"/>
    </row>
    <row r="514">
      <c r="C514" s="22"/>
    </row>
    <row r="515">
      <c r="C515" s="22"/>
    </row>
    <row r="516">
      <c r="C516" s="22"/>
    </row>
    <row r="517">
      <c r="C517" s="22"/>
    </row>
    <row r="518">
      <c r="C518" s="22"/>
    </row>
    <row r="519">
      <c r="C519" s="22"/>
    </row>
    <row r="520">
      <c r="C520" s="22"/>
    </row>
    <row r="521">
      <c r="C521" s="22"/>
    </row>
    <row r="522">
      <c r="C522" s="22"/>
    </row>
    <row r="523">
      <c r="C523" s="22"/>
    </row>
    <row r="524">
      <c r="C524" s="22"/>
    </row>
    <row r="525">
      <c r="C525" s="22"/>
    </row>
    <row r="526">
      <c r="C526" s="22"/>
    </row>
    <row r="527">
      <c r="C527" s="22"/>
    </row>
    <row r="528">
      <c r="C528" s="22"/>
    </row>
    <row r="529">
      <c r="C529" s="22"/>
    </row>
    <row r="530">
      <c r="C530" s="22"/>
    </row>
    <row r="531">
      <c r="C531" s="22"/>
    </row>
    <row r="532">
      <c r="C532" s="22"/>
    </row>
    <row r="533">
      <c r="C533" s="22"/>
    </row>
    <row r="534">
      <c r="C534" s="22"/>
    </row>
    <row r="535">
      <c r="C535" s="22"/>
    </row>
    <row r="536">
      <c r="C536" s="22"/>
    </row>
    <row r="537">
      <c r="C537" s="22"/>
    </row>
    <row r="538">
      <c r="C538" s="22"/>
    </row>
    <row r="539">
      <c r="C539" s="22"/>
    </row>
    <row r="540">
      <c r="C540" s="22"/>
    </row>
    <row r="541">
      <c r="C541" s="22"/>
    </row>
    <row r="542">
      <c r="C542" s="22"/>
    </row>
    <row r="543">
      <c r="C543" s="22"/>
    </row>
    <row r="544">
      <c r="C544" s="22"/>
    </row>
    <row r="545">
      <c r="C545" s="22"/>
    </row>
    <row r="546">
      <c r="C546" s="22"/>
    </row>
    <row r="547">
      <c r="C547" s="22"/>
    </row>
    <row r="548">
      <c r="C548" s="22"/>
    </row>
    <row r="549">
      <c r="C549" s="22"/>
    </row>
    <row r="550">
      <c r="C550" s="22"/>
    </row>
    <row r="551">
      <c r="C551" s="22"/>
    </row>
    <row r="552">
      <c r="C552" s="22"/>
    </row>
    <row r="553">
      <c r="C553" s="22"/>
    </row>
    <row r="554">
      <c r="C554" s="22"/>
    </row>
    <row r="555">
      <c r="C555" s="22"/>
    </row>
    <row r="556">
      <c r="C556" s="22"/>
    </row>
    <row r="557">
      <c r="C557" s="22"/>
    </row>
    <row r="558">
      <c r="C558" s="22"/>
    </row>
    <row r="559">
      <c r="C559" s="22"/>
    </row>
    <row r="560">
      <c r="C560" s="22"/>
    </row>
    <row r="561">
      <c r="C561" s="22"/>
    </row>
    <row r="562">
      <c r="C562" s="22"/>
    </row>
    <row r="563">
      <c r="C563" s="22"/>
    </row>
    <row r="564">
      <c r="C564" s="22"/>
    </row>
    <row r="565">
      <c r="C565" s="22"/>
    </row>
    <row r="566">
      <c r="C566" s="22"/>
    </row>
    <row r="567">
      <c r="C567" s="22"/>
    </row>
    <row r="568">
      <c r="C568" s="22"/>
    </row>
    <row r="569">
      <c r="C569" s="22"/>
    </row>
    <row r="570">
      <c r="C570" s="22"/>
    </row>
    <row r="571">
      <c r="C571" s="22"/>
    </row>
    <row r="572">
      <c r="C572" s="22"/>
    </row>
    <row r="573">
      <c r="C573" s="22"/>
    </row>
    <row r="574">
      <c r="C574" s="22"/>
    </row>
    <row r="575">
      <c r="C575" s="22"/>
    </row>
    <row r="576">
      <c r="C576" s="22"/>
    </row>
    <row r="577">
      <c r="C577" s="22"/>
    </row>
    <row r="578">
      <c r="C578" s="22"/>
    </row>
    <row r="579">
      <c r="C579" s="22"/>
    </row>
    <row r="580">
      <c r="C580" s="22"/>
    </row>
    <row r="581">
      <c r="C581" s="22"/>
    </row>
    <row r="582">
      <c r="C582" s="22"/>
    </row>
    <row r="583">
      <c r="C583" s="22"/>
    </row>
    <row r="584">
      <c r="C584" s="22"/>
    </row>
    <row r="585">
      <c r="C585" s="22"/>
    </row>
    <row r="586">
      <c r="C586" s="22"/>
    </row>
    <row r="587">
      <c r="C587" s="22"/>
    </row>
    <row r="588">
      <c r="C588" s="22"/>
    </row>
    <row r="589">
      <c r="C589" s="22"/>
    </row>
    <row r="590">
      <c r="C590" s="22"/>
    </row>
    <row r="591">
      <c r="C591" s="22"/>
    </row>
    <row r="592">
      <c r="C592" s="22"/>
    </row>
    <row r="593">
      <c r="C593" s="22"/>
    </row>
    <row r="594">
      <c r="C594" s="22"/>
    </row>
    <row r="595">
      <c r="C595" s="22"/>
    </row>
    <row r="596">
      <c r="C596" s="22"/>
    </row>
    <row r="597">
      <c r="C597" s="22"/>
    </row>
    <row r="598">
      <c r="C598" s="22"/>
    </row>
    <row r="599">
      <c r="C599" s="22"/>
    </row>
    <row r="600">
      <c r="C600" s="22"/>
    </row>
    <row r="601">
      <c r="C601" s="22"/>
    </row>
    <row r="602">
      <c r="C602" s="22"/>
    </row>
    <row r="603">
      <c r="C603" s="22"/>
    </row>
    <row r="604">
      <c r="C604" s="22"/>
    </row>
    <row r="605">
      <c r="C605" s="22"/>
    </row>
    <row r="606">
      <c r="C606" s="22"/>
    </row>
    <row r="607">
      <c r="C607" s="22"/>
    </row>
    <row r="608">
      <c r="C608" s="22"/>
    </row>
    <row r="609">
      <c r="C609" s="22"/>
    </row>
    <row r="610">
      <c r="C610" s="22"/>
    </row>
    <row r="611">
      <c r="C611" s="22"/>
    </row>
    <row r="612">
      <c r="C612" s="22"/>
    </row>
    <row r="613">
      <c r="C613" s="22"/>
    </row>
    <row r="614">
      <c r="C614" s="22"/>
    </row>
    <row r="615">
      <c r="C615" s="22"/>
    </row>
    <row r="616">
      <c r="C616" s="22"/>
    </row>
    <row r="617">
      <c r="C617" s="22"/>
    </row>
    <row r="618">
      <c r="C618" s="22"/>
    </row>
    <row r="619">
      <c r="C619" s="22"/>
    </row>
    <row r="620">
      <c r="C620" s="22"/>
    </row>
    <row r="621">
      <c r="C621" s="22"/>
    </row>
    <row r="622">
      <c r="C622" s="22"/>
    </row>
    <row r="623">
      <c r="C623" s="22"/>
    </row>
    <row r="624">
      <c r="C624" s="22"/>
    </row>
    <row r="625">
      <c r="C625" s="22"/>
    </row>
    <row r="626">
      <c r="C626" s="22"/>
    </row>
    <row r="627">
      <c r="C627" s="22"/>
    </row>
    <row r="628">
      <c r="C628" s="22"/>
    </row>
    <row r="629">
      <c r="C629" s="22"/>
    </row>
    <row r="630">
      <c r="C630" s="22"/>
    </row>
    <row r="631">
      <c r="C631" s="22"/>
    </row>
    <row r="632">
      <c r="C632" s="22"/>
    </row>
    <row r="633">
      <c r="C633" s="22"/>
    </row>
    <row r="634">
      <c r="C634" s="22"/>
    </row>
    <row r="635">
      <c r="C635" s="22"/>
    </row>
    <row r="636">
      <c r="C636" s="22"/>
    </row>
    <row r="637">
      <c r="C637" s="22"/>
    </row>
    <row r="638">
      <c r="C638" s="22"/>
    </row>
    <row r="639">
      <c r="C639" s="22"/>
    </row>
    <row r="640">
      <c r="C640" s="22"/>
    </row>
    <row r="641">
      <c r="C641" s="22"/>
    </row>
    <row r="642">
      <c r="C642" s="22"/>
    </row>
    <row r="643">
      <c r="C643" s="22"/>
    </row>
    <row r="644">
      <c r="C644" s="22"/>
    </row>
    <row r="645">
      <c r="C645" s="22"/>
    </row>
    <row r="646">
      <c r="C646" s="22"/>
    </row>
    <row r="647">
      <c r="C647" s="22"/>
    </row>
    <row r="648">
      <c r="C648" s="22"/>
    </row>
    <row r="649">
      <c r="C649" s="22"/>
    </row>
    <row r="650">
      <c r="C650" s="22"/>
    </row>
    <row r="651">
      <c r="C651" s="22"/>
    </row>
    <row r="652">
      <c r="C652" s="22"/>
    </row>
    <row r="653">
      <c r="C653" s="22"/>
    </row>
    <row r="654">
      <c r="C654" s="22"/>
    </row>
    <row r="655">
      <c r="C655" s="22"/>
    </row>
    <row r="656">
      <c r="C656" s="22"/>
    </row>
    <row r="657">
      <c r="C657" s="22"/>
    </row>
    <row r="658">
      <c r="C658" s="22"/>
    </row>
    <row r="659">
      <c r="C659" s="22"/>
    </row>
    <row r="660">
      <c r="C660" s="22"/>
    </row>
    <row r="661">
      <c r="C661" s="22"/>
    </row>
    <row r="662">
      <c r="C662" s="22"/>
    </row>
    <row r="663">
      <c r="C663" s="22"/>
    </row>
    <row r="664">
      <c r="C664" s="22"/>
    </row>
    <row r="665">
      <c r="C665" s="22"/>
    </row>
    <row r="666">
      <c r="C666" s="22"/>
    </row>
    <row r="667">
      <c r="C667" s="22"/>
    </row>
    <row r="668">
      <c r="C668" s="22"/>
    </row>
    <row r="669">
      <c r="C669" s="22"/>
    </row>
    <row r="670">
      <c r="C670" s="22"/>
    </row>
    <row r="671">
      <c r="C671" s="22"/>
    </row>
    <row r="672">
      <c r="C672" s="22"/>
    </row>
    <row r="673">
      <c r="C673" s="22"/>
    </row>
    <row r="674">
      <c r="C674" s="22"/>
    </row>
    <row r="675">
      <c r="C675" s="22"/>
    </row>
    <row r="676">
      <c r="C676" s="22"/>
    </row>
    <row r="677">
      <c r="C677" s="22"/>
    </row>
    <row r="678">
      <c r="C678" s="22"/>
    </row>
    <row r="679">
      <c r="C679" s="22"/>
    </row>
    <row r="680">
      <c r="C680" s="22"/>
    </row>
    <row r="681">
      <c r="C681" s="22"/>
    </row>
    <row r="682">
      <c r="C682" s="22"/>
    </row>
    <row r="683">
      <c r="C683" s="22"/>
    </row>
    <row r="684">
      <c r="C684" s="22"/>
    </row>
    <row r="685">
      <c r="C685" s="22"/>
    </row>
    <row r="686">
      <c r="C686" s="22"/>
    </row>
    <row r="687">
      <c r="C687" s="22"/>
    </row>
    <row r="688">
      <c r="C688" s="22"/>
    </row>
    <row r="689">
      <c r="C689" s="22"/>
    </row>
    <row r="690">
      <c r="C690" s="22"/>
    </row>
    <row r="691">
      <c r="C691" s="22"/>
    </row>
    <row r="692">
      <c r="C692" s="22"/>
    </row>
    <row r="693">
      <c r="C693" s="22"/>
    </row>
    <row r="694">
      <c r="C694" s="22"/>
    </row>
    <row r="695">
      <c r="C695" s="22"/>
    </row>
    <row r="696">
      <c r="C696" s="22"/>
    </row>
    <row r="697">
      <c r="C697" s="22"/>
    </row>
    <row r="698">
      <c r="C698" s="22"/>
    </row>
    <row r="699">
      <c r="C699" s="22"/>
    </row>
    <row r="700">
      <c r="C700" s="22"/>
    </row>
    <row r="701">
      <c r="C701" s="22"/>
    </row>
    <row r="702">
      <c r="C702" s="22"/>
    </row>
    <row r="703">
      <c r="C703" s="22"/>
    </row>
    <row r="704">
      <c r="C704" s="22"/>
    </row>
    <row r="705">
      <c r="C705" s="22"/>
    </row>
    <row r="706">
      <c r="C706" s="22"/>
    </row>
    <row r="707">
      <c r="C707" s="22"/>
    </row>
    <row r="708">
      <c r="C708" s="22"/>
    </row>
    <row r="709">
      <c r="C709" s="22"/>
    </row>
    <row r="710">
      <c r="C710" s="22"/>
    </row>
    <row r="711">
      <c r="C711" s="22"/>
    </row>
    <row r="712">
      <c r="C712" s="22"/>
    </row>
    <row r="713">
      <c r="C713" s="22"/>
    </row>
    <row r="714">
      <c r="C714" s="22"/>
    </row>
    <row r="715">
      <c r="C715" s="22"/>
    </row>
    <row r="716">
      <c r="C716" s="22"/>
    </row>
    <row r="717">
      <c r="C717" s="22"/>
    </row>
    <row r="718">
      <c r="C718" s="22"/>
    </row>
    <row r="719">
      <c r="C719" s="22"/>
    </row>
    <row r="720">
      <c r="C720" s="22"/>
    </row>
    <row r="721">
      <c r="C721" s="22"/>
    </row>
    <row r="722">
      <c r="C722" s="22"/>
    </row>
    <row r="723">
      <c r="C723" s="22"/>
    </row>
    <row r="724">
      <c r="C724" s="22"/>
    </row>
    <row r="725">
      <c r="C725" s="22"/>
    </row>
    <row r="726">
      <c r="C726" s="22"/>
    </row>
    <row r="727">
      <c r="C727" s="22"/>
    </row>
    <row r="728">
      <c r="C728" s="22"/>
    </row>
    <row r="729">
      <c r="C729" s="22"/>
    </row>
    <row r="730">
      <c r="C730" s="22"/>
    </row>
    <row r="731">
      <c r="C731" s="22"/>
    </row>
    <row r="732">
      <c r="C732" s="22"/>
    </row>
    <row r="733">
      <c r="C733" s="22"/>
    </row>
    <row r="734">
      <c r="C734" s="22"/>
    </row>
    <row r="735">
      <c r="C735" s="22"/>
    </row>
    <row r="736">
      <c r="C736" s="22"/>
    </row>
    <row r="737">
      <c r="C737" s="22"/>
    </row>
    <row r="738">
      <c r="C738" s="22"/>
    </row>
    <row r="739">
      <c r="C739" s="22"/>
    </row>
    <row r="740">
      <c r="C740" s="22"/>
    </row>
    <row r="741">
      <c r="C741" s="22"/>
    </row>
    <row r="742">
      <c r="C742" s="22"/>
    </row>
    <row r="743">
      <c r="C743" s="22"/>
    </row>
    <row r="744">
      <c r="C744" s="22"/>
    </row>
    <row r="745">
      <c r="C745" s="22"/>
    </row>
    <row r="746">
      <c r="C746" s="22"/>
    </row>
    <row r="747">
      <c r="C747" s="22"/>
    </row>
    <row r="748">
      <c r="C748" s="22"/>
    </row>
    <row r="749">
      <c r="C749" s="22"/>
    </row>
    <row r="750">
      <c r="C750" s="22"/>
    </row>
    <row r="751">
      <c r="C751" s="22"/>
    </row>
    <row r="752">
      <c r="C752" s="22"/>
    </row>
    <row r="753">
      <c r="C753" s="22"/>
    </row>
    <row r="754">
      <c r="C754" s="22"/>
    </row>
    <row r="755">
      <c r="C755" s="22"/>
    </row>
    <row r="756">
      <c r="C756" s="22"/>
    </row>
    <row r="757">
      <c r="C757" s="22"/>
    </row>
    <row r="758">
      <c r="C758" s="22"/>
    </row>
    <row r="759">
      <c r="C759" s="22"/>
    </row>
    <row r="760">
      <c r="C760" s="22"/>
    </row>
    <row r="761">
      <c r="C761" s="22"/>
    </row>
    <row r="762">
      <c r="C762" s="22"/>
    </row>
    <row r="763">
      <c r="C763" s="22"/>
    </row>
    <row r="764">
      <c r="C764" s="22"/>
    </row>
    <row r="765">
      <c r="C765" s="22"/>
    </row>
    <row r="766">
      <c r="C766" s="22"/>
    </row>
    <row r="767">
      <c r="C767" s="22"/>
    </row>
    <row r="768">
      <c r="C768" s="22"/>
    </row>
    <row r="769">
      <c r="C769" s="22"/>
    </row>
    <row r="770">
      <c r="C770" s="22"/>
    </row>
    <row r="771">
      <c r="C771" s="22"/>
    </row>
    <row r="772">
      <c r="C772" s="22"/>
    </row>
    <row r="773">
      <c r="C773" s="22"/>
    </row>
    <row r="774">
      <c r="C774" s="22"/>
    </row>
    <row r="775">
      <c r="C775" s="22"/>
    </row>
    <row r="776">
      <c r="C776" s="22"/>
    </row>
    <row r="777">
      <c r="C777" s="22"/>
    </row>
    <row r="778">
      <c r="C778" s="22"/>
    </row>
    <row r="779">
      <c r="C779" s="22"/>
    </row>
    <row r="780">
      <c r="C780" s="22"/>
    </row>
    <row r="781">
      <c r="C781" s="22"/>
    </row>
    <row r="782">
      <c r="C782" s="22"/>
    </row>
    <row r="783">
      <c r="C783" s="22"/>
    </row>
    <row r="784">
      <c r="C784" s="22"/>
    </row>
    <row r="785">
      <c r="C785" s="22"/>
    </row>
    <row r="786">
      <c r="C786" s="22"/>
    </row>
    <row r="787">
      <c r="C787" s="22"/>
    </row>
    <row r="788">
      <c r="C788" s="22"/>
    </row>
    <row r="789">
      <c r="C789" s="22"/>
    </row>
    <row r="790">
      <c r="C790" s="22"/>
    </row>
    <row r="791">
      <c r="C791" s="22"/>
    </row>
    <row r="792">
      <c r="C792" s="22"/>
    </row>
    <row r="793">
      <c r="C793" s="22"/>
    </row>
    <row r="794">
      <c r="C794" s="22"/>
    </row>
    <row r="795">
      <c r="C795" s="22"/>
    </row>
    <row r="796">
      <c r="C796" s="22"/>
    </row>
    <row r="797">
      <c r="C797" s="22"/>
    </row>
    <row r="798">
      <c r="C798" s="22"/>
    </row>
    <row r="799">
      <c r="C799" s="22"/>
    </row>
    <row r="800">
      <c r="C800" s="22"/>
    </row>
    <row r="801">
      <c r="C801" s="22"/>
    </row>
    <row r="802">
      <c r="C802" s="22"/>
    </row>
    <row r="803">
      <c r="C803" s="22"/>
    </row>
    <row r="804">
      <c r="C804" s="22"/>
    </row>
    <row r="805">
      <c r="C805" s="22"/>
    </row>
    <row r="806">
      <c r="C806" s="22"/>
    </row>
    <row r="807">
      <c r="C807" s="22"/>
    </row>
    <row r="808">
      <c r="C808" s="22"/>
    </row>
    <row r="809">
      <c r="C809" s="22"/>
    </row>
    <row r="810">
      <c r="C810" s="22"/>
    </row>
    <row r="811">
      <c r="C811" s="22"/>
    </row>
    <row r="812">
      <c r="C812" s="22"/>
    </row>
    <row r="813">
      <c r="C813" s="22"/>
    </row>
    <row r="814">
      <c r="C814" s="22"/>
    </row>
    <row r="815">
      <c r="C815" s="22"/>
    </row>
    <row r="816">
      <c r="C816" s="22"/>
    </row>
    <row r="817">
      <c r="C817" s="22"/>
    </row>
    <row r="818">
      <c r="C818" s="22"/>
    </row>
    <row r="819">
      <c r="C819" s="22"/>
    </row>
    <row r="820">
      <c r="C820" s="22"/>
    </row>
    <row r="821">
      <c r="C821" s="22"/>
    </row>
    <row r="822">
      <c r="C822" s="22"/>
    </row>
    <row r="823">
      <c r="C823" s="22"/>
    </row>
    <row r="824">
      <c r="C824" s="22"/>
    </row>
    <row r="825">
      <c r="C825" s="22"/>
    </row>
    <row r="826">
      <c r="C826" s="22"/>
    </row>
    <row r="827">
      <c r="C827" s="22"/>
    </row>
    <row r="828">
      <c r="C828" s="22"/>
    </row>
    <row r="829">
      <c r="C829" s="22"/>
    </row>
    <row r="830">
      <c r="C830" s="22"/>
    </row>
    <row r="831">
      <c r="C831" s="22"/>
    </row>
    <row r="832">
      <c r="C832" s="22"/>
    </row>
    <row r="833">
      <c r="C833" s="22"/>
    </row>
    <row r="834">
      <c r="C834" s="22"/>
    </row>
    <row r="835">
      <c r="C835" s="22"/>
    </row>
    <row r="836">
      <c r="C836" s="22"/>
    </row>
    <row r="837">
      <c r="C837" s="22"/>
    </row>
    <row r="838">
      <c r="C838" s="22"/>
    </row>
    <row r="839">
      <c r="C839" s="22"/>
    </row>
    <row r="840">
      <c r="C840" s="22"/>
    </row>
    <row r="841">
      <c r="C841" s="22"/>
    </row>
    <row r="842">
      <c r="C842" s="22"/>
    </row>
    <row r="843">
      <c r="C843" s="22"/>
    </row>
    <row r="844">
      <c r="C844" s="22"/>
    </row>
    <row r="845">
      <c r="C845" s="22"/>
    </row>
    <row r="846">
      <c r="C846" s="22"/>
    </row>
    <row r="847">
      <c r="C847" s="22"/>
    </row>
    <row r="848">
      <c r="C848" s="22"/>
    </row>
    <row r="849">
      <c r="C849" s="22"/>
    </row>
    <row r="850">
      <c r="C850" s="22"/>
    </row>
    <row r="851">
      <c r="C851" s="22"/>
    </row>
    <row r="852">
      <c r="C852" s="22"/>
    </row>
    <row r="853">
      <c r="C853" s="22"/>
    </row>
    <row r="854">
      <c r="C854" s="22"/>
    </row>
    <row r="855">
      <c r="C855" s="22"/>
    </row>
    <row r="856">
      <c r="C856" s="22"/>
    </row>
    <row r="857">
      <c r="C857" s="22"/>
    </row>
    <row r="858">
      <c r="C858" s="22"/>
    </row>
    <row r="859">
      <c r="C859" s="22"/>
    </row>
    <row r="860">
      <c r="C860" s="22"/>
    </row>
    <row r="861">
      <c r="C861" s="22"/>
    </row>
    <row r="862">
      <c r="C862" s="22"/>
    </row>
    <row r="863">
      <c r="C863" s="22"/>
    </row>
    <row r="864">
      <c r="C864" s="22"/>
    </row>
    <row r="865">
      <c r="C865" s="22"/>
    </row>
    <row r="866">
      <c r="C866" s="22"/>
    </row>
    <row r="867">
      <c r="C867" s="22"/>
    </row>
    <row r="868">
      <c r="C868" s="22"/>
    </row>
    <row r="869">
      <c r="C869" s="22"/>
    </row>
    <row r="870">
      <c r="C870" s="22"/>
    </row>
    <row r="871">
      <c r="C871" s="22"/>
    </row>
    <row r="872">
      <c r="C872" s="22"/>
    </row>
    <row r="873">
      <c r="C873" s="22"/>
    </row>
    <row r="874">
      <c r="C874" s="22"/>
    </row>
    <row r="875">
      <c r="C875" s="22"/>
    </row>
    <row r="876">
      <c r="C876" s="22"/>
    </row>
    <row r="877">
      <c r="C877" s="22"/>
    </row>
    <row r="878">
      <c r="C878" s="22"/>
    </row>
    <row r="879">
      <c r="C879" s="22"/>
    </row>
    <row r="880">
      <c r="C880" s="22"/>
    </row>
    <row r="881">
      <c r="C881" s="22"/>
    </row>
    <row r="882">
      <c r="C882" s="22"/>
    </row>
    <row r="883">
      <c r="C883" s="22"/>
    </row>
    <row r="884">
      <c r="C884" s="22"/>
    </row>
    <row r="885">
      <c r="C885" s="22"/>
    </row>
    <row r="886">
      <c r="C886" s="22"/>
    </row>
    <row r="887">
      <c r="C887" s="22"/>
    </row>
    <row r="888">
      <c r="C888" s="22"/>
    </row>
    <row r="889">
      <c r="C889" s="22"/>
    </row>
    <row r="890">
      <c r="C890" s="22"/>
    </row>
    <row r="891">
      <c r="C891" s="22"/>
    </row>
    <row r="892">
      <c r="C892" s="22"/>
    </row>
    <row r="893">
      <c r="C893" s="22"/>
    </row>
    <row r="894">
      <c r="C894" s="22"/>
    </row>
    <row r="895">
      <c r="C895" s="22"/>
    </row>
    <row r="896">
      <c r="C896" s="22"/>
    </row>
    <row r="897">
      <c r="C897" s="22"/>
    </row>
    <row r="898">
      <c r="C898" s="22"/>
    </row>
    <row r="899">
      <c r="C899" s="22"/>
    </row>
    <row r="900">
      <c r="C900" s="22"/>
    </row>
    <row r="901">
      <c r="C901" s="22"/>
    </row>
    <row r="902">
      <c r="C902" s="22"/>
    </row>
    <row r="903">
      <c r="C903" s="22"/>
    </row>
    <row r="904">
      <c r="C904" s="22"/>
    </row>
    <row r="905">
      <c r="C905" s="22"/>
    </row>
    <row r="906">
      <c r="C906" s="22"/>
    </row>
    <row r="907">
      <c r="C907" s="22"/>
    </row>
    <row r="908">
      <c r="C908" s="22"/>
    </row>
    <row r="909">
      <c r="C909" s="22"/>
    </row>
    <row r="910">
      <c r="C910" s="22"/>
    </row>
    <row r="911">
      <c r="C911" s="22"/>
    </row>
    <row r="912">
      <c r="C912" s="22"/>
    </row>
    <row r="913">
      <c r="C913" s="22"/>
    </row>
    <row r="914">
      <c r="C914" s="22"/>
    </row>
    <row r="915">
      <c r="C915" s="22"/>
    </row>
    <row r="916">
      <c r="C916" s="22"/>
    </row>
    <row r="917">
      <c r="C917" s="22"/>
    </row>
    <row r="918">
      <c r="C918" s="22"/>
    </row>
    <row r="919">
      <c r="C919" s="22"/>
    </row>
    <row r="920">
      <c r="C920" s="22"/>
    </row>
    <row r="921">
      <c r="C921" s="22"/>
    </row>
    <row r="922">
      <c r="C922" s="22"/>
    </row>
    <row r="923">
      <c r="C923" s="22"/>
    </row>
    <row r="924">
      <c r="C924" s="22"/>
    </row>
    <row r="925">
      <c r="C925" s="22"/>
    </row>
    <row r="926">
      <c r="C926" s="22"/>
    </row>
    <row r="927">
      <c r="C927" s="22"/>
    </row>
    <row r="928">
      <c r="C928" s="22"/>
    </row>
    <row r="929">
      <c r="C929" s="22"/>
    </row>
    <row r="930">
      <c r="C930" s="22"/>
    </row>
    <row r="931">
      <c r="C931" s="22"/>
    </row>
    <row r="932">
      <c r="C932" s="22"/>
    </row>
    <row r="933">
      <c r="C933" s="22"/>
    </row>
    <row r="934">
      <c r="C934" s="22"/>
    </row>
    <row r="935">
      <c r="C935" s="22"/>
    </row>
    <row r="936">
      <c r="C936" s="22"/>
    </row>
    <row r="937">
      <c r="C937" s="22"/>
    </row>
    <row r="938">
      <c r="C938" s="22"/>
    </row>
    <row r="939">
      <c r="C939" s="22"/>
    </row>
    <row r="940">
      <c r="C940" s="22"/>
    </row>
    <row r="941">
      <c r="C941" s="22"/>
    </row>
    <row r="942">
      <c r="C942" s="22"/>
    </row>
    <row r="943">
      <c r="C943" s="22"/>
    </row>
    <row r="944">
      <c r="C944" s="22"/>
    </row>
    <row r="945">
      <c r="C945" s="22"/>
    </row>
    <row r="946">
      <c r="C946" s="22"/>
    </row>
    <row r="947">
      <c r="C947" s="22"/>
    </row>
    <row r="948">
      <c r="C948" s="22"/>
    </row>
    <row r="949">
      <c r="C949" s="22"/>
    </row>
    <row r="950">
      <c r="C950" s="22"/>
    </row>
    <row r="951">
      <c r="C951" s="22"/>
    </row>
    <row r="952">
      <c r="C952" s="22"/>
    </row>
    <row r="953">
      <c r="C953" s="22"/>
    </row>
    <row r="954">
      <c r="C954" s="22"/>
    </row>
    <row r="955">
      <c r="C955" s="22"/>
    </row>
    <row r="956">
      <c r="C956" s="22"/>
    </row>
    <row r="957">
      <c r="C957" s="22"/>
    </row>
    <row r="958">
      <c r="C958" s="22"/>
    </row>
    <row r="959">
      <c r="C959" s="22"/>
    </row>
    <row r="960">
      <c r="C960" s="22"/>
    </row>
    <row r="961">
      <c r="C961" s="22"/>
    </row>
    <row r="962">
      <c r="C962" s="22"/>
    </row>
    <row r="963">
      <c r="C963" s="22"/>
    </row>
    <row r="964">
      <c r="C964" s="22"/>
    </row>
    <row r="965">
      <c r="C965" s="22"/>
    </row>
    <row r="966">
      <c r="C966" s="22"/>
    </row>
    <row r="967">
      <c r="C967" s="22"/>
    </row>
    <row r="968">
      <c r="C968" s="22"/>
    </row>
    <row r="969">
      <c r="C969" s="22"/>
    </row>
    <row r="970">
      <c r="C970" s="22"/>
    </row>
    <row r="971">
      <c r="C971" s="22"/>
    </row>
    <row r="972">
      <c r="C972" s="22"/>
    </row>
    <row r="973">
      <c r="C973" s="22"/>
    </row>
    <row r="974">
      <c r="C974" s="22"/>
    </row>
    <row r="975">
      <c r="C975" s="22"/>
    </row>
    <row r="976">
      <c r="C976" s="22"/>
    </row>
    <row r="977">
      <c r="C977" s="22"/>
    </row>
    <row r="978">
      <c r="C978" s="22"/>
    </row>
    <row r="979">
      <c r="C979" s="22"/>
    </row>
    <row r="980">
      <c r="C980" s="22"/>
    </row>
    <row r="981">
      <c r="C981" s="22"/>
    </row>
    <row r="982">
      <c r="C982" s="22"/>
    </row>
    <row r="983">
      <c r="C983" s="22"/>
    </row>
    <row r="984">
      <c r="C984" s="22"/>
    </row>
    <row r="985">
      <c r="C985" s="22"/>
    </row>
    <row r="986">
      <c r="C986" s="22"/>
    </row>
    <row r="987">
      <c r="C987" s="22"/>
    </row>
    <row r="988">
      <c r="C988" s="22"/>
    </row>
    <row r="989">
      <c r="C989" s="22"/>
    </row>
    <row r="990">
      <c r="C990" s="22"/>
    </row>
    <row r="991">
      <c r="C991" s="22"/>
    </row>
    <row r="992">
      <c r="C992" s="22"/>
    </row>
    <row r="993">
      <c r="C993" s="22"/>
    </row>
    <row r="994">
      <c r="C994" s="22"/>
    </row>
    <row r="995">
      <c r="C995" s="22"/>
    </row>
    <row r="996">
      <c r="C996" s="22"/>
    </row>
    <row r="997">
      <c r="C997" s="22"/>
    </row>
    <row r="998">
      <c r="C998" s="22"/>
    </row>
    <row r="999">
      <c r="C999" s="2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drawing r:id="rId15"/>
  <tableParts count="1"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112</v>
      </c>
      <c r="B1" s="10" t="s">
        <v>113</v>
      </c>
      <c r="C1" s="10" t="s">
        <v>114</v>
      </c>
    </row>
    <row r="2">
      <c r="A2" s="10" t="s">
        <v>108</v>
      </c>
      <c r="B2" s="23">
        <v>46069.0</v>
      </c>
      <c r="C2" s="10">
        <v>652.0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13"/>
    <col customWidth="1" min="3" max="3" width="15.5"/>
    <col customWidth="1" min="5" max="5" width="12.75"/>
    <col customWidth="1" min="6" max="6" width="13.13"/>
  </cols>
  <sheetData>
    <row r="1" ht="22.5" customHeight="1">
      <c r="A1" s="11" t="s">
        <v>113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</row>
    <row r="2" ht="22.5" customHeight="1">
      <c r="A2" s="24">
        <v>46069.0</v>
      </c>
      <c r="B2" s="2" t="s">
        <v>120</v>
      </c>
      <c r="C2" s="2" t="s">
        <v>121</v>
      </c>
      <c r="D2" s="2" t="s">
        <v>122</v>
      </c>
      <c r="E2" s="2">
        <v>4.1</v>
      </c>
      <c r="F2" s="2">
        <v>5.25</v>
      </c>
    </row>
    <row r="3" ht="22.5" customHeight="1">
      <c r="A3" s="24">
        <v>46069.0</v>
      </c>
      <c r="B3" s="2" t="s">
        <v>120</v>
      </c>
      <c r="C3" s="2" t="s">
        <v>123</v>
      </c>
      <c r="D3" s="2" t="s">
        <v>122</v>
      </c>
      <c r="E3" s="2">
        <v>3.5</v>
      </c>
      <c r="F3" s="2">
        <v>4.85</v>
      </c>
    </row>
    <row r="4" ht="22.5" customHeight="1">
      <c r="A4" s="24">
        <v>46069.0</v>
      </c>
      <c r="B4" s="2" t="s">
        <v>120</v>
      </c>
      <c r="C4" s="2" t="s">
        <v>124</v>
      </c>
      <c r="D4" s="2" t="s">
        <v>122</v>
      </c>
      <c r="E4" s="2">
        <v>2.0</v>
      </c>
      <c r="F4" s="2">
        <v>4.4</v>
      </c>
    </row>
    <row r="5" ht="22.5" customHeight="1">
      <c r="A5" s="24">
        <v>46069.0</v>
      </c>
      <c r="B5" s="2" t="s">
        <v>120</v>
      </c>
      <c r="C5" s="2" t="s">
        <v>125</v>
      </c>
      <c r="D5" s="2" t="s">
        <v>122</v>
      </c>
      <c r="E5" s="2">
        <v>3.0</v>
      </c>
      <c r="F5" s="2">
        <v>3.95</v>
      </c>
    </row>
    <row r="6" ht="22.5" customHeight="1">
      <c r="A6" s="24">
        <v>46069.0</v>
      </c>
      <c r="B6" s="2" t="s">
        <v>120</v>
      </c>
      <c r="C6" s="2" t="s">
        <v>126</v>
      </c>
      <c r="D6" s="2" t="s">
        <v>122</v>
      </c>
      <c r="E6" s="2">
        <v>0.75</v>
      </c>
      <c r="F6" s="2">
        <v>3.4</v>
      </c>
    </row>
    <row r="7" ht="22.5" customHeight="1">
      <c r="A7" s="24">
        <v>46069.0</v>
      </c>
      <c r="B7" s="2" t="s">
        <v>120</v>
      </c>
      <c r="C7" s="2" t="s">
        <v>127</v>
      </c>
      <c r="D7" s="2" t="s">
        <v>122</v>
      </c>
      <c r="E7" s="2">
        <v>2.5</v>
      </c>
      <c r="F7" s="2">
        <v>2.85</v>
      </c>
    </row>
    <row r="8" ht="22.5" customHeight="1">
      <c r="A8" s="24">
        <v>46069.0</v>
      </c>
      <c r="B8" s="2" t="s">
        <v>120</v>
      </c>
      <c r="C8" s="2" t="s">
        <v>121</v>
      </c>
      <c r="D8" s="2" t="s">
        <v>128</v>
      </c>
      <c r="E8" s="2">
        <v>4.8</v>
      </c>
      <c r="F8" s="2">
        <v>6.4</v>
      </c>
    </row>
    <row r="9" ht="22.5" customHeight="1">
      <c r="A9" s="24">
        <v>46069.0</v>
      </c>
      <c r="B9" s="2" t="s">
        <v>120</v>
      </c>
      <c r="C9" s="2" t="s">
        <v>123</v>
      </c>
      <c r="D9" s="2" t="s">
        <v>128</v>
      </c>
      <c r="E9" s="2">
        <v>4.9</v>
      </c>
      <c r="F9" s="2">
        <v>5.95</v>
      </c>
    </row>
    <row r="10" ht="22.5" customHeight="1">
      <c r="A10" s="24">
        <v>46069.0</v>
      </c>
      <c r="B10" s="2" t="s">
        <v>120</v>
      </c>
      <c r="C10" s="2" t="s">
        <v>124</v>
      </c>
      <c r="D10" s="2" t="s">
        <v>128</v>
      </c>
      <c r="E10" s="2">
        <v>4.55</v>
      </c>
      <c r="F10" s="2">
        <v>5.35</v>
      </c>
    </row>
    <row r="11" ht="22.5" customHeight="1">
      <c r="A11" s="24">
        <v>46069.0</v>
      </c>
      <c r="B11" s="2" t="s">
        <v>120</v>
      </c>
      <c r="C11" s="2" t="s">
        <v>125</v>
      </c>
      <c r="D11" s="2" t="s">
        <v>128</v>
      </c>
      <c r="E11" s="2">
        <v>4.2</v>
      </c>
      <c r="F11" s="2">
        <v>4.9</v>
      </c>
    </row>
    <row r="12" ht="22.5" customHeight="1">
      <c r="A12" s="24">
        <v>46069.0</v>
      </c>
      <c r="B12" s="2" t="s">
        <v>120</v>
      </c>
      <c r="C12" s="2" t="s">
        <v>126</v>
      </c>
      <c r="D12" s="2" t="s">
        <v>128</v>
      </c>
      <c r="E12" s="2">
        <v>3.8</v>
      </c>
      <c r="F12" s="2">
        <v>4.15</v>
      </c>
    </row>
    <row r="13" ht="22.5" customHeight="1">
      <c r="A13" s="24">
        <v>46069.0</v>
      </c>
      <c r="B13" s="2" t="s">
        <v>120</v>
      </c>
      <c r="C13" s="2" t="s">
        <v>127</v>
      </c>
      <c r="D13" s="2" t="s">
        <v>128</v>
      </c>
      <c r="E13" s="2">
        <v>2.9</v>
      </c>
      <c r="F13" s="2">
        <v>3.7</v>
      </c>
    </row>
    <row r="14" ht="22.5" customHeight="1">
      <c r="A14" s="24">
        <v>46069.0</v>
      </c>
      <c r="B14" s="2" t="s">
        <v>129</v>
      </c>
      <c r="C14" s="2" t="s">
        <v>121</v>
      </c>
      <c r="D14" s="2" t="s">
        <v>122</v>
      </c>
      <c r="E14" s="2">
        <v>3.6</v>
      </c>
      <c r="F14" s="2">
        <v>4.8</v>
      </c>
    </row>
    <row r="15" ht="22.5" customHeight="1">
      <c r="A15" s="24">
        <v>46069.0</v>
      </c>
      <c r="B15" s="2" t="s">
        <v>129</v>
      </c>
      <c r="C15" s="2" t="s">
        <v>123</v>
      </c>
      <c r="D15" s="2" t="s">
        <v>122</v>
      </c>
      <c r="E15" s="2">
        <v>3.0</v>
      </c>
      <c r="F15" s="2">
        <v>4.9</v>
      </c>
    </row>
    <row r="16" ht="22.5" customHeight="1">
      <c r="A16" s="24">
        <v>46069.0</v>
      </c>
      <c r="B16" s="2" t="s">
        <v>129</v>
      </c>
      <c r="C16" s="2" t="s">
        <v>124</v>
      </c>
      <c r="D16" s="2" t="s">
        <v>122</v>
      </c>
      <c r="E16" s="2">
        <v>2.3</v>
      </c>
      <c r="F16" s="2">
        <v>4.55</v>
      </c>
    </row>
    <row r="17" ht="22.5" customHeight="1">
      <c r="A17" s="24">
        <v>46069.0</v>
      </c>
      <c r="B17" s="2" t="s">
        <v>129</v>
      </c>
      <c r="C17" s="2" t="s">
        <v>125</v>
      </c>
      <c r="D17" s="2" t="s">
        <v>122</v>
      </c>
      <c r="E17" s="2">
        <v>2.75</v>
      </c>
      <c r="F17" s="2">
        <v>4.2</v>
      </c>
    </row>
    <row r="18" ht="22.5" customHeight="1">
      <c r="A18" s="24">
        <v>46069.0</v>
      </c>
      <c r="B18" s="2" t="s">
        <v>129</v>
      </c>
      <c r="C18" s="2" t="s">
        <v>126</v>
      </c>
      <c r="D18" s="2" t="s">
        <v>122</v>
      </c>
      <c r="E18" s="2">
        <v>2.65</v>
      </c>
      <c r="F18" s="2">
        <v>3.8</v>
      </c>
    </row>
    <row r="19" ht="22.5" customHeight="1">
      <c r="A19" s="24">
        <v>46069.0</v>
      </c>
      <c r="B19" s="2" t="s">
        <v>129</v>
      </c>
      <c r="C19" s="2" t="s">
        <v>127</v>
      </c>
      <c r="D19" s="2" t="s">
        <v>122</v>
      </c>
      <c r="E19" s="2">
        <v>2.1</v>
      </c>
      <c r="F19" s="2">
        <v>2.9</v>
      </c>
    </row>
    <row r="20" ht="22.5" customHeight="1">
      <c r="A20" s="24">
        <v>46069.0</v>
      </c>
      <c r="B20" s="2" t="s">
        <v>129</v>
      </c>
      <c r="C20" s="2" t="s">
        <v>121</v>
      </c>
      <c r="D20" s="2" t="s">
        <v>128</v>
      </c>
      <c r="E20" s="2">
        <v>5.25</v>
      </c>
      <c r="F20" s="2">
        <v>6.2</v>
      </c>
    </row>
    <row r="21" ht="22.5" customHeight="1">
      <c r="A21" s="24">
        <v>46069.0</v>
      </c>
      <c r="B21" s="2" t="s">
        <v>129</v>
      </c>
      <c r="C21" s="2" t="s">
        <v>123</v>
      </c>
      <c r="D21" s="2" t="s">
        <v>128</v>
      </c>
      <c r="E21" s="2">
        <v>4.85</v>
      </c>
      <c r="F21" s="2">
        <v>5.25</v>
      </c>
    </row>
    <row r="22" ht="22.5" customHeight="1">
      <c r="A22" s="24">
        <v>46069.0</v>
      </c>
      <c r="B22" s="2" t="s">
        <v>129</v>
      </c>
      <c r="C22" s="2" t="s">
        <v>124</v>
      </c>
      <c r="D22" s="2" t="s">
        <v>128</v>
      </c>
      <c r="E22" s="2">
        <v>4.4</v>
      </c>
      <c r="F22" s="2">
        <v>4.95</v>
      </c>
    </row>
    <row r="23" ht="22.5" customHeight="1">
      <c r="A23" s="24">
        <v>46069.0</v>
      </c>
      <c r="B23" s="2" t="s">
        <v>129</v>
      </c>
      <c r="C23" s="2" t="s">
        <v>125</v>
      </c>
      <c r="D23" s="2" t="s">
        <v>128</v>
      </c>
      <c r="E23" s="2">
        <v>3.95</v>
      </c>
      <c r="F23" s="2">
        <v>4.3</v>
      </c>
    </row>
    <row r="24" ht="22.5" customHeight="1">
      <c r="A24" s="24">
        <v>46069.0</v>
      </c>
      <c r="B24" s="2" t="s">
        <v>129</v>
      </c>
      <c r="C24" s="2" t="s">
        <v>126</v>
      </c>
      <c r="D24" s="2" t="s">
        <v>128</v>
      </c>
      <c r="E24" s="2">
        <v>3.4</v>
      </c>
      <c r="F24" s="2">
        <v>3.7</v>
      </c>
    </row>
    <row r="25" ht="22.5" customHeight="1">
      <c r="A25" s="24">
        <v>46069.0</v>
      </c>
      <c r="B25" s="2" t="s">
        <v>129</v>
      </c>
      <c r="C25" s="2" t="s">
        <v>127</v>
      </c>
      <c r="D25" s="2" t="s">
        <v>128</v>
      </c>
      <c r="E25" s="2">
        <v>2.85</v>
      </c>
      <c r="F25" s="2">
        <v>3.25</v>
      </c>
    </row>
    <row r="26" ht="22.5" customHeight="1">
      <c r="A26" s="24">
        <v>46069.0</v>
      </c>
      <c r="B26" s="2" t="s">
        <v>130</v>
      </c>
      <c r="C26" s="2" t="s">
        <v>123</v>
      </c>
      <c r="D26" s="2" t="s">
        <v>131</v>
      </c>
      <c r="E26" s="2">
        <v>1150.0</v>
      </c>
      <c r="F26" s="2">
        <v>1450.0</v>
      </c>
    </row>
    <row r="27" ht="22.5" customHeight="1">
      <c r="A27" s="24">
        <v>46069.0</v>
      </c>
      <c r="B27" s="2" t="s">
        <v>130</v>
      </c>
      <c r="C27" s="2" t="s">
        <v>124</v>
      </c>
      <c r="D27" s="2" t="s">
        <v>131</v>
      </c>
      <c r="E27" s="2">
        <v>800.0</v>
      </c>
      <c r="F27" s="2">
        <v>1800.0</v>
      </c>
    </row>
    <row r="28" ht="22.5" customHeight="1">
      <c r="A28" s="24">
        <v>46069.0</v>
      </c>
      <c r="B28" s="2" t="s">
        <v>130</v>
      </c>
      <c r="C28" s="2" t="s">
        <v>125</v>
      </c>
      <c r="D28" s="2" t="s">
        <v>131</v>
      </c>
      <c r="E28" s="2">
        <v>1000.0</v>
      </c>
      <c r="F28" s="2">
        <v>1650.0</v>
      </c>
    </row>
    <row r="29" ht="22.5" customHeight="1">
      <c r="A29" s="24">
        <v>46069.0</v>
      </c>
      <c r="B29" s="2" t="s">
        <v>132</v>
      </c>
      <c r="C29" s="2" t="s">
        <v>121</v>
      </c>
      <c r="D29" s="2" t="s">
        <v>131</v>
      </c>
      <c r="E29" s="2">
        <v>850.0</v>
      </c>
      <c r="F29" s="2">
        <v>1400.0</v>
      </c>
    </row>
    <row r="30" ht="22.5" customHeight="1">
      <c r="A30" s="24">
        <v>46069.0</v>
      </c>
      <c r="B30" s="2" t="s">
        <v>132</v>
      </c>
      <c r="C30" s="2" t="s">
        <v>123</v>
      </c>
      <c r="D30" s="2" t="s">
        <v>131</v>
      </c>
      <c r="E30" s="2">
        <v>600.0</v>
      </c>
      <c r="F30" s="2">
        <v>1450.0</v>
      </c>
    </row>
    <row r="31" ht="22.5" customHeight="1">
      <c r="A31" s="24">
        <v>46069.0</v>
      </c>
      <c r="B31" s="2" t="s">
        <v>132</v>
      </c>
      <c r="C31" s="2" t="s">
        <v>124</v>
      </c>
      <c r="D31" s="2" t="s">
        <v>131</v>
      </c>
      <c r="E31" s="2">
        <v>1200.0</v>
      </c>
      <c r="F31" s="2">
        <v>1900.0</v>
      </c>
    </row>
    <row r="32" ht="22.5" customHeight="1">
      <c r="A32" s="24">
        <v>46069.0</v>
      </c>
      <c r="B32" s="2" t="s">
        <v>132</v>
      </c>
      <c r="C32" s="2" t="s">
        <v>125</v>
      </c>
      <c r="D32" s="2" t="s">
        <v>131</v>
      </c>
      <c r="E32" s="2">
        <v>2.0</v>
      </c>
      <c r="F32" s="2">
        <v>3.15</v>
      </c>
    </row>
    <row r="33" ht="22.5" customHeight="1">
      <c r="A33" s="24">
        <v>46069.0</v>
      </c>
      <c r="B33" s="2" t="s">
        <v>132</v>
      </c>
      <c r="C33" s="2" t="s">
        <v>126</v>
      </c>
      <c r="D33" s="2" t="s">
        <v>131</v>
      </c>
      <c r="E33" s="2">
        <v>2.0</v>
      </c>
      <c r="F33" s="2">
        <v>2.9</v>
      </c>
    </row>
    <row r="34" ht="22.5" customHeight="1">
      <c r="A34" s="24">
        <v>46069.0</v>
      </c>
      <c r="B34" s="2" t="s">
        <v>132</v>
      </c>
      <c r="C34" s="2" t="s">
        <v>127</v>
      </c>
      <c r="D34" s="2" t="s">
        <v>131</v>
      </c>
      <c r="E34" s="2">
        <v>2.1</v>
      </c>
      <c r="F34" s="2">
        <v>2.8</v>
      </c>
    </row>
    <row r="35" ht="22.5" customHeight="1">
      <c r="A35" s="24">
        <v>46069.0</v>
      </c>
      <c r="B35" s="2" t="s">
        <v>133</v>
      </c>
      <c r="D35" s="2" t="s">
        <v>134</v>
      </c>
      <c r="E35" s="2">
        <v>2900.0</v>
      </c>
      <c r="F35" s="2">
        <v>3350.0</v>
      </c>
    </row>
    <row r="36" ht="22.5" customHeight="1">
      <c r="A36" s="24">
        <v>46069.0</v>
      </c>
      <c r="B36" s="2" t="s">
        <v>133</v>
      </c>
      <c r="D36" s="2" t="s">
        <v>135</v>
      </c>
      <c r="E36" s="2">
        <v>1800.0</v>
      </c>
      <c r="F36" s="2">
        <v>2800.0</v>
      </c>
    </row>
    <row r="37" ht="22.5" customHeight="1">
      <c r="A37" s="24">
        <v>46069.0</v>
      </c>
      <c r="B37" s="2" t="s">
        <v>136</v>
      </c>
      <c r="D37" s="2" t="s">
        <v>137</v>
      </c>
      <c r="E37" s="2">
        <v>1.5</v>
      </c>
      <c r="F37" s="2">
        <v>1.83</v>
      </c>
    </row>
    <row r="38" ht="22.5" customHeight="1">
      <c r="A38" s="24">
        <v>46069.0</v>
      </c>
      <c r="B38" s="2" t="s">
        <v>136</v>
      </c>
      <c r="D38" s="2" t="s">
        <v>138</v>
      </c>
      <c r="E38" s="2">
        <v>0.86</v>
      </c>
      <c r="F38" s="2">
        <v>1.2</v>
      </c>
    </row>
    <row r="39" ht="22.5" customHeight="1">
      <c r="A39" s="24">
        <v>46069.0</v>
      </c>
      <c r="B39" s="2" t="s">
        <v>139</v>
      </c>
      <c r="D39" s="2" t="s">
        <v>140</v>
      </c>
      <c r="E39" s="2">
        <v>2.95</v>
      </c>
      <c r="F39" s="2">
        <v>3.25</v>
      </c>
    </row>
    <row r="40" ht="22.5" customHeight="1">
      <c r="A40" s="24">
        <v>46069.0</v>
      </c>
      <c r="B40" s="2" t="s">
        <v>139</v>
      </c>
      <c r="D40" s="2" t="s">
        <v>141</v>
      </c>
      <c r="E40" s="2">
        <v>1.78</v>
      </c>
      <c r="F40" s="2">
        <v>1.94</v>
      </c>
    </row>
    <row r="41" ht="22.5" customHeight="1">
      <c r="A41" s="24">
        <v>46069.0</v>
      </c>
      <c r="B41" s="2" t="s">
        <v>139</v>
      </c>
      <c r="D41" s="2" t="s">
        <v>142</v>
      </c>
      <c r="E41" s="2">
        <v>1.1</v>
      </c>
      <c r="F41" s="2">
        <v>1.5</v>
      </c>
    </row>
    <row r="42" ht="22.5" customHeight="1">
      <c r="A42" s="24">
        <v>46069.0</v>
      </c>
      <c r="B42" s="2" t="s">
        <v>143</v>
      </c>
      <c r="C42" s="2" t="s">
        <v>144</v>
      </c>
      <c r="D42" s="2" t="s">
        <v>131</v>
      </c>
      <c r="E42" s="2">
        <v>750.0</v>
      </c>
      <c r="F42" s="2">
        <v>1200.0</v>
      </c>
    </row>
  </sheetData>
  <dataValidations>
    <dataValidation type="custom" allowBlank="1" showDropDown="1" sqref="A2:A42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3" max="3" width="14.25"/>
  </cols>
  <sheetData>
    <row r="1" ht="22.5" customHeight="1">
      <c r="A1" s="11" t="s">
        <v>112</v>
      </c>
      <c r="B1" s="11" t="s">
        <v>113</v>
      </c>
      <c r="C1" s="11" t="s">
        <v>114</v>
      </c>
    </row>
    <row r="2" ht="22.5" customHeight="1">
      <c r="A2" s="2" t="s">
        <v>145</v>
      </c>
      <c r="B2" s="24">
        <v>46070.0</v>
      </c>
      <c r="C2" s="2">
        <v>1194.0</v>
      </c>
    </row>
  </sheetData>
  <dataValidations>
    <dataValidation type="custom" allowBlank="1" showDropDown="1" sqref="B2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3" max="3" width="15.5"/>
    <col customWidth="1" min="4" max="4" width="13.88"/>
    <col customWidth="1" min="5" max="5" width="12.75"/>
    <col customWidth="1" min="6" max="6" width="13.13"/>
  </cols>
  <sheetData>
    <row r="1" ht="22.5" customHeight="1">
      <c r="A1" s="11" t="s">
        <v>113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</row>
    <row r="2" ht="22.5" customHeight="1">
      <c r="A2" s="24">
        <v>46070.0</v>
      </c>
      <c r="B2" s="2" t="s">
        <v>136</v>
      </c>
      <c r="D2" s="2" t="s">
        <v>146</v>
      </c>
      <c r="E2" s="2">
        <v>135.0</v>
      </c>
      <c r="F2" s="2">
        <v>164.0</v>
      </c>
    </row>
    <row r="3" ht="22.5" customHeight="1">
      <c r="A3" s="24">
        <v>46070.0</v>
      </c>
      <c r="B3" s="2" t="s">
        <v>136</v>
      </c>
      <c r="D3" s="2" t="s">
        <v>147</v>
      </c>
      <c r="E3" s="2">
        <v>165.0</v>
      </c>
      <c r="F3" s="2">
        <v>171.0</v>
      </c>
    </row>
    <row r="4" ht="22.5" customHeight="1">
      <c r="A4" s="24">
        <v>46070.0</v>
      </c>
      <c r="B4" s="2" t="s">
        <v>136</v>
      </c>
      <c r="D4" s="2" t="s">
        <v>148</v>
      </c>
      <c r="E4" s="2">
        <v>172.0</v>
      </c>
      <c r="F4" s="2">
        <v>177.0</v>
      </c>
    </row>
    <row r="5" ht="22.5" customHeight="1">
      <c r="A5" s="24">
        <v>46070.0</v>
      </c>
      <c r="B5" s="2" t="s">
        <v>139</v>
      </c>
      <c r="E5" s="2">
        <v>189.0</v>
      </c>
      <c r="F5" s="2">
        <v>225.0</v>
      </c>
    </row>
    <row r="6" ht="22.5" customHeight="1">
      <c r="A6" s="24">
        <v>46070.0</v>
      </c>
      <c r="B6" s="2" t="s">
        <v>133</v>
      </c>
      <c r="D6" s="2" t="s">
        <v>149</v>
      </c>
      <c r="E6" s="2">
        <v>2400.0</v>
      </c>
      <c r="F6" s="2">
        <v>3550.0</v>
      </c>
    </row>
    <row r="7" ht="22.5" customHeight="1">
      <c r="A7" s="24">
        <v>46070.0</v>
      </c>
      <c r="B7" s="2" t="s">
        <v>133</v>
      </c>
      <c r="D7" s="2" t="s">
        <v>150</v>
      </c>
      <c r="E7" s="2">
        <v>3200.0</v>
      </c>
      <c r="F7" s="2">
        <v>3800.0</v>
      </c>
    </row>
    <row r="8" ht="22.5" customHeight="1">
      <c r="A8" s="24">
        <v>46070.0</v>
      </c>
      <c r="B8" s="2" t="s">
        <v>120</v>
      </c>
      <c r="C8" s="2" t="s">
        <v>151</v>
      </c>
      <c r="D8" s="2" t="s">
        <v>152</v>
      </c>
      <c r="E8" s="2">
        <v>3.15</v>
      </c>
      <c r="F8" s="2">
        <v>7.9</v>
      </c>
    </row>
    <row r="9" ht="22.5" customHeight="1">
      <c r="A9" s="24">
        <v>46070.0</v>
      </c>
      <c r="B9" s="2" t="s">
        <v>120</v>
      </c>
      <c r="C9" s="2" t="s">
        <v>153</v>
      </c>
      <c r="D9" s="2" t="s">
        <v>152</v>
      </c>
      <c r="E9" s="2">
        <v>3.05</v>
      </c>
      <c r="F9" s="2">
        <v>7.2</v>
      </c>
    </row>
    <row r="10" ht="22.5" customHeight="1">
      <c r="A10" s="24">
        <v>46070.0</v>
      </c>
      <c r="B10" s="2" t="s">
        <v>120</v>
      </c>
      <c r="C10" s="2" t="s">
        <v>154</v>
      </c>
      <c r="D10" s="2" t="s">
        <v>152</v>
      </c>
      <c r="E10" s="2">
        <v>2.88</v>
      </c>
      <c r="F10" s="2">
        <v>6.8</v>
      </c>
    </row>
    <row r="11" ht="22.5" customHeight="1">
      <c r="A11" s="24">
        <v>46070.0</v>
      </c>
      <c r="B11" s="2" t="s">
        <v>120</v>
      </c>
      <c r="C11" s="2" t="s">
        <v>155</v>
      </c>
      <c r="D11" s="2" t="s">
        <v>152</v>
      </c>
      <c r="E11" s="2">
        <v>2.8</v>
      </c>
      <c r="F11" s="2">
        <v>6.3</v>
      </c>
    </row>
    <row r="12" ht="22.5" customHeight="1">
      <c r="A12" s="24">
        <v>46070.0</v>
      </c>
      <c r="B12" s="2" t="s">
        <v>120</v>
      </c>
      <c r="C12" s="2" t="s">
        <v>156</v>
      </c>
      <c r="D12" s="2" t="s">
        <v>152</v>
      </c>
      <c r="E12" s="2">
        <v>2.75</v>
      </c>
      <c r="F12" s="2">
        <v>5.3</v>
      </c>
    </row>
    <row r="13" ht="22.5" customHeight="1">
      <c r="A13" s="24">
        <v>46070.0</v>
      </c>
      <c r="B13" s="2" t="s">
        <v>120</v>
      </c>
      <c r="C13" s="2" t="s">
        <v>157</v>
      </c>
      <c r="D13" s="2" t="s">
        <v>152</v>
      </c>
      <c r="E13" s="2">
        <v>2.55</v>
      </c>
      <c r="F13" s="2">
        <v>4.5</v>
      </c>
    </row>
    <row r="14" ht="22.5" customHeight="1">
      <c r="A14" s="24">
        <v>46070.0</v>
      </c>
      <c r="B14" s="2" t="s">
        <v>129</v>
      </c>
      <c r="C14" s="2" t="s">
        <v>151</v>
      </c>
      <c r="D14" s="2" t="s">
        <v>152</v>
      </c>
      <c r="E14" s="2">
        <v>2.35</v>
      </c>
      <c r="F14" s="2">
        <v>7.1</v>
      </c>
    </row>
    <row r="15" ht="22.5" customHeight="1">
      <c r="A15" s="24">
        <v>46070.0</v>
      </c>
      <c r="B15" s="2" t="s">
        <v>129</v>
      </c>
      <c r="C15" s="2" t="s">
        <v>153</v>
      </c>
      <c r="D15" s="2" t="s">
        <v>152</v>
      </c>
      <c r="E15" s="2">
        <v>2.25</v>
      </c>
      <c r="F15" s="2">
        <v>7.1</v>
      </c>
    </row>
    <row r="16" ht="22.5" customHeight="1">
      <c r="A16" s="24">
        <v>46070.0</v>
      </c>
      <c r="B16" s="2" t="s">
        <v>129</v>
      </c>
      <c r="C16" s="2" t="s">
        <v>154</v>
      </c>
      <c r="D16" s="2" t="s">
        <v>152</v>
      </c>
      <c r="E16" s="2">
        <v>2.18</v>
      </c>
      <c r="F16" s="2">
        <v>6.65</v>
      </c>
    </row>
    <row r="17" ht="22.5" customHeight="1">
      <c r="A17" s="24">
        <v>46070.0</v>
      </c>
      <c r="B17" s="2" t="s">
        <v>129</v>
      </c>
      <c r="C17" s="2" t="s">
        <v>155</v>
      </c>
      <c r="D17" s="2" t="s">
        <v>152</v>
      </c>
      <c r="E17" s="2">
        <v>2.12</v>
      </c>
      <c r="F17" s="2">
        <v>5.65</v>
      </c>
    </row>
    <row r="18" ht="22.5" customHeight="1">
      <c r="A18" s="24">
        <v>46070.0</v>
      </c>
      <c r="B18" s="2" t="s">
        <v>129</v>
      </c>
      <c r="C18" s="2" t="s">
        <v>156</v>
      </c>
      <c r="D18" s="2" t="s">
        <v>152</v>
      </c>
      <c r="E18" s="2">
        <v>2.06</v>
      </c>
      <c r="F18" s="2">
        <v>4.85</v>
      </c>
    </row>
    <row r="19" ht="22.5" customHeight="1">
      <c r="A19" s="24">
        <v>46070.0</v>
      </c>
      <c r="B19" s="2" t="s">
        <v>129</v>
      </c>
      <c r="C19" s="2" t="s">
        <v>157</v>
      </c>
      <c r="D19" s="2" t="s">
        <v>152</v>
      </c>
      <c r="E19" s="2">
        <v>1.85</v>
      </c>
      <c r="F19" s="2">
        <v>4.15</v>
      </c>
    </row>
  </sheetData>
  <dataValidations>
    <dataValidation type="custom" allowBlank="1" showDropDown="1" sqref="A2:A19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3" max="3" width="14.25"/>
  </cols>
  <sheetData>
    <row r="1" ht="22.5" customHeight="1">
      <c r="A1" s="11" t="s">
        <v>112</v>
      </c>
      <c r="B1" s="11" t="s">
        <v>113</v>
      </c>
      <c r="C1" s="11" t="s">
        <v>114</v>
      </c>
    </row>
    <row r="2" ht="22.5" customHeight="1">
      <c r="A2" s="2" t="s">
        <v>158</v>
      </c>
      <c r="B2" s="24">
        <v>46074.0</v>
      </c>
      <c r="C2" s="2">
        <v>362.0</v>
      </c>
    </row>
  </sheetData>
  <dataValidations>
    <dataValidation type="custom" allowBlank="1" showDropDown="1" sqref="B2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5"/>
    <col customWidth="1" min="5" max="5" width="12.75"/>
    <col customWidth="1" min="6" max="6" width="13.13"/>
  </cols>
  <sheetData>
    <row r="1" ht="22.5" customHeight="1">
      <c r="A1" s="11" t="s">
        <v>113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</row>
    <row r="2" ht="22.5" customHeight="1">
      <c r="A2" s="24">
        <v>46074.0</v>
      </c>
      <c r="B2" s="2" t="s">
        <v>159</v>
      </c>
      <c r="C2" s="2" t="s">
        <v>125</v>
      </c>
      <c r="D2" s="2" t="s">
        <v>160</v>
      </c>
      <c r="E2" s="2">
        <v>105.0</v>
      </c>
      <c r="F2" s="2">
        <v>105.0</v>
      </c>
    </row>
    <row r="3" ht="22.5" customHeight="1">
      <c r="A3" s="24">
        <v>46074.0</v>
      </c>
      <c r="B3" s="2" t="s">
        <v>159</v>
      </c>
      <c r="C3" s="2" t="s">
        <v>161</v>
      </c>
      <c r="D3" s="2" t="s">
        <v>160</v>
      </c>
      <c r="E3" s="2">
        <v>125.0</v>
      </c>
      <c r="F3" s="2">
        <v>202.0</v>
      </c>
    </row>
    <row r="4" ht="22.5" customHeight="1">
      <c r="A4" s="24">
        <v>46074.0</v>
      </c>
      <c r="B4" s="2" t="s">
        <v>162</v>
      </c>
      <c r="C4" s="2" t="s">
        <v>125</v>
      </c>
      <c r="D4" s="2" t="s">
        <v>160</v>
      </c>
      <c r="E4" s="2">
        <v>165.0</v>
      </c>
      <c r="F4" s="2">
        <v>165.0</v>
      </c>
    </row>
    <row r="5" ht="22.5" customHeight="1">
      <c r="A5" s="24">
        <v>46074.0</v>
      </c>
      <c r="B5" s="2" t="s">
        <v>162</v>
      </c>
      <c r="C5" s="2" t="s">
        <v>126</v>
      </c>
      <c r="D5" s="2" t="s">
        <v>160</v>
      </c>
      <c r="E5" s="2">
        <v>170.0</v>
      </c>
      <c r="F5" s="2">
        <v>270.0</v>
      </c>
    </row>
    <row r="6" ht="22.5" customHeight="1">
      <c r="A6" s="24">
        <v>46074.0</v>
      </c>
      <c r="B6" s="2" t="s">
        <v>162</v>
      </c>
      <c r="C6" s="2" t="s">
        <v>127</v>
      </c>
      <c r="D6" s="2" t="s">
        <v>160</v>
      </c>
      <c r="E6" s="2">
        <v>125.0</v>
      </c>
      <c r="F6" s="2">
        <v>216.0</v>
      </c>
    </row>
    <row r="7" ht="22.5" customHeight="1">
      <c r="A7" s="24">
        <v>46074.0</v>
      </c>
      <c r="B7" s="2" t="s">
        <v>162</v>
      </c>
      <c r="C7" s="2" t="s">
        <v>163</v>
      </c>
      <c r="D7" s="2" t="s">
        <v>160</v>
      </c>
      <c r="E7" s="2">
        <v>130.0</v>
      </c>
      <c r="F7" s="2">
        <v>266.0</v>
      </c>
    </row>
    <row r="8" ht="22.5" customHeight="1">
      <c r="A8" s="24">
        <v>46074.0</v>
      </c>
      <c r="B8" s="2" t="s">
        <v>162</v>
      </c>
      <c r="C8" s="2" t="s">
        <v>164</v>
      </c>
      <c r="D8" s="2" t="s">
        <v>160</v>
      </c>
      <c r="E8" s="2">
        <v>148.0</v>
      </c>
      <c r="F8" s="2">
        <v>184.0</v>
      </c>
    </row>
    <row r="9" ht="22.5" customHeight="1">
      <c r="A9" s="24">
        <v>46074.0</v>
      </c>
      <c r="B9" s="2" t="s">
        <v>162</v>
      </c>
      <c r="C9" s="2" t="s">
        <v>161</v>
      </c>
      <c r="D9" s="2" t="s">
        <v>160</v>
      </c>
      <c r="E9" s="2">
        <v>125.0</v>
      </c>
      <c r="F9" s="2">
        <v>258.0</v>
      </c>
    </row>
    <row r="10" ht="22.5" customHeight="1">
      <c r="A10" s="24">
        <v>46074.0</v>
      </c>
      <c r="B10" s="2" t="s">
        <v>133</v>
      </c>
      <c r="C10" s="2" t="s">
        <v>163</v>
      </c>
      <c r="D10" s="2" t="s">
        <v>165</v>
      </c>
      <c r="E10" s="2">
        <v>144.0</v>
      </c>
      <c r="F10" s="2">
        <v>144.0</v>
      </c>
    </row>
    <row r="11" ht="22.5" customHeight="1">
      <c r="A11" s="24">
        <v>46074.0</v>
      </c>
      <c r="B11" s="2" t="s">
        <v>133</v>
      </c>
      <c r="C11" s="2" t="s">
        <v>127</v>
      </c>
      <c r="D11" s="2" t="s">
        <v>166</v>
      </c>
      <c r="E11" s="2">
        <v>2025.0</v>
      </c>
      <c r="F11" s="2">
        <v>2025.0</v>
      </c>
    </row>
    <row r="12" ht="22.5" customHeight="1">
      <c r="A12" s="24">
        <v>46074.0</v>
      </c>
      <c r="B12" s="2" t="s">
        <v>133</v>
      </c>
      <c r="C12" s="2" t="s">
        <v>164</v>
      </c>
      <c r="D12" s="2" t="s">
        <v>166</v>
      </c>
      <c r="E12" s="2">
        <v>2000.0</v>
      </c>
      <c r="F12" s="2">
        <v>2500.0</v>
      </c>
    </row>
    <row r="13" ht="22.5" customHeight="1">
      <c r="A13" s="24">
        <v>46074.0</v>
      </c>
      <c r="B13" s="2" t="s">
        <v>133</v>
      </c>
      <c r="C13" s="2" t="s">
        <v>161</v>
      </c>
      <c r="D13" s="2" t="s">
        <v>166</v>
      </c>
      <c r="E13" s="2">
        <v>1600.0</v>
      </c>
      <c r="F13" s="2">
        <v>2850.0</v>
      </c>
    </row>
    <row r="14" ht="22.5" customHeight="1">
      <c r="A14" s="24">
        <v>46074.0</v>
      </c>
      <c r="B14" s="2" t="s">
        <v>133</v>
      </c>
      <c r="C14" s="2" t="s">
        <v>163</v>
      </c>
      <c r="D14" s="2" t="s">
        <v>167</v>
      </c>
      <c r="E14" s="2">
        <v>1850.0</v>
      </c>
      <c r="F14" s="2">
        <v>1850.0</v>
      </c>
    </row>
    <row r="15" ht="22.5" customHeight="1">
      <c r="A15" s="24">
        <v>46074.0</v>
      </c>
      <c r="B15" s="2" t="s">
        <v>133</v>
      </c>
      <c r="C15" s="2" t="s">
        <v>161</v>
      </c>
      <c r="D15" s="2" t="s">
        <v>167</v>
      </c>
      <c r="E15" s="2">
        <v>3600.0</v>
      </c>
      <c r="F15" s="2">
        <v>3600.0</v>
      </c>
    </row>
    <row r="16" ht="22.5" customHeight="1">
      <c r="A16" s="24">
        <v>46074.0</v>
      </c>
      <c r="B16" s="2" t="s">
        <v>120</v>
      </c>
      <c r="C16" s="2" t="s">
        <v>168</v>
      </c>
      <c r="D16" s="2" t="s">
        <v>160</v>
      </c>
      <c r="E16" s="2">
        <v>565.0</v>
      </c>
      <c r="F16" s="2">
        <v>740.0</v>
      </c>
    </row>
    <row r="17" ht="22.5" customHeight="1">
      <c r="A17" s="24">
        <v>46074.0</v>
      </c>
      <c r="B17" s="2" t="s">
        <v>120</v>
      </c>
      <c r="C17" s="2" t="s">
        <v>121</v>
      </c>
      <c r="D17" s="2" t="s">
        <v>160</v>
      </c>
      <c r="E17" s="2">
        <v>380.0</v>
      </c>
      <c r="F17" s="2">
        <v>650.0</v>
      </c>
    </row>
    <row r="18" ht="22.5" customHeight="1">
      <c r="A18" s="24">
        <v>46074.0</v>
      </c>
      <c r="B18" s="2" t="s">
        <v>120</v>
      </c>
      <c r="C18" s="2" t="s">
        <v>123</v>
      </c>
      <c r="D18" s="2" t="s">
        <v>160</v>
      </c>
      <c r="E18" s="2">
        <v>340.0</v>
      </c>
      <c r="F18" s="2">
        <v>525.0</v>
      </c>
    </row>
    <row r="19" ht="22.5" customHeight="1">
      <c r="A19" s="24">
        <v>46074.0</v>
      </c>
      <c r="B19" s="2" t="s">
        <v>120</v>
      </c>
      <c r="C19" s="2" t="s">
        <v>124</v>
      </c>
      <c r="D19" s="2" t="s">
        <v>160</v>
      </c>
      <c r="E19" s="2">
        <v>240.0</v>
      </c>
      <c r="F19" s="2">
        <v>505.0</v>
      </c>
    </row>
    <row r="20" ht="22.5" customHeight="1">
      <c r="A20" s="24">
        <v>46074.0</v>
      </c>
      <c r="B20" s="2" t="s">
        <v>120</v>
      </c>
      <c r="C20" s="2" t="s">
        <v>125</v>
      </c>
      <c r="D20" s="2" t="s">
        <v>160</v>
      </c>
      <c r="E20" s="2">
        <v>270.0</v>
      </c>
      <c r="F20" s="2">
        <v>424.0</v>
      </c>
    </row>
    <row r="21" ht="22.5" customHeight="1">
      <c r="A21" s="24">
        <v>46074.0</v>
      </c>
      <c r="B21" s="2" t="s">
        <v>120</v>
      </c>
      <c r="C21" s="2" t="s">
        <v>126</v>
      </c>
      <c r="D21" s="2" t="s">
        <v>160</v>
      </c>
      <c r="E21" s="2">
        <v>330.0</v>
      </c>
      <c r="F21" s="2">
        <v>410.0</v>
      </c>
    </row>
    <row r="22" ht="22.5" customHeight="1">
      <c r="A22" s="24">
        <v>46074.0</v>
      </c>
      <c r="B22" s="2" t="s">
        <v>120</v>
      </c>
      <c r="C22" s="2" t="s">
        <v>127</v>
      </c>
      <c r="D22" s="2" t="s">
        <v>160</v>
      </c>
      <c r="E22" s="2">
        <v>175.0</v>
      </c>
      <c r="F22" s="2">
        <v>358.0</v>
      </c>
    </row>
    <row r="23" ht="22.5" customHeight="1">
      <c r="A23" s="24">
        <v>46074.0</v>
      </c>
      <c r="B23" s="2" t="s">
        <v>120</v>
      </c>
      <c r="C23" s="2" t="s">
        <v>163</v>
      </c>
      <c r="D23" s="2" t="s">
        <v>160</v>
      </c>
      <c r="E23" s="2">
        <v>320.0</v>
      </c>
      <c r="F23" s="2">
        <v>320.0</v>
      </c>
    </row>
    <row r="24" ht="22.5" customHeight="1">
      <c r="A24" s="24">
        <v>46074.0</v>
      </c>
      <c r="B24" s="2" t="s">
        <v>120</v>
      </c>
      <c r="C24" s="2" t="s">
        <v>164</v>
      </c>
      <c r="D24" s="2" t="s">
        <v>160</v>
      </c>
      <c r="E24" s="2">
        <v>260.0</v>
      </c>
      <c r="F24" s="2">
        <v>260.0</v>
      </c>
    </row>
    <row r="25" ht="22.5" customHeight="1">
      <c r="A25" s="24">
        <v>46074.0</v>
      </c>
      <c r="B25" s="2" t="s">
        <v>120</v>
      </c>
      <c r="C25" s="2" t="s">
        <v>161</v>
      </c>
      <c r="D25" s="2" t="s">
        <v>160</v>
      </c>
      <c r="E25" s="2">
        <v>147.0</v>
      </c>
      <c r="F25" s="2">
        <v>170.0</v>
      </c>
    </row>
    <row r="26" ht="22.5" customHeight="1">
      <c r="A26" s="24">
        <v>46074.0</v>
      </c>
      <c r="B26" s="2" t="s">
        <v>129</v>
      </c>
      <c r="C26" s="2" t="s">
        <v>168</v>
      </c>
      <c r="D26" s="2" t="s">
        <v>160</v>
      </c>
      <c r="E26" s="2">
        <v>460.0</v>
      </c>
      <c r="F26" s="2">
        <v>750.0</v>
      </c>
    </row>
    <row r="27" ht="22.5" customHeight="1">
      <c r="A27" s="24">
        <v>46074.0</v>
      </c>
      <c r="B27" s="2" t="s">
        <v>129</v>
      </c>
      <c r="C27" s="2" t="s">
        <v>121</v>
      </c>
      <c r="D27" s="2" t="s">
        <v>160</v>
      </c>
      <c r="E27" s="2">
        <v>150.0</v>
      </c>
      <c r="F27" s="2">
        <v>620.0</v>
      </c>
    </row>
    <row r="28" ht="22.5" customHeight="1">
      <c r="A28" s="24">
        <v>46074.0</v>
      </c>
      <c r="B28" s="2" t="s">
        <v>129</v>
      </c>
      <c r="C28" s="2" t="s">
        <v>123</v>
      </c>
      <c r="D28" s="2" t="s">
        <v>160</v>
      </c>
      <c r="E28" s="2">
        <v>270.0</v>
      </c>
      <c r="F28" s="2">
        <v>500.0</v>
      </c>
    </row>
    <row r="29" ht="22.5" customHeight="1">
      <c r="A29" s="24">
        <v>46074.0</v>
      </c>
      <c r="B29" s="2" t="s">
        <v>129</v>
      </c>
      <c r="C29" s="2" t="s">
        <v>124</v>
      </c>
      <c r="D29" s="2" t="s">
        <v>160</v>
      </c>
      <c r="E29" s="2">
        <v>350.0</v>
      </c>
      <c r="F29" s="2">
        <v>450.0</v>
      </c>
    </row>
    <row r="30" ht="22.5" customHeight="1">
      <c r="A30" s="24">
        <v>46074.0</v>
      </c>
      <c r="B30" s="2" t="s">
        <v>129</v>
      </c>
      <c r="C30" s="2" t="s">
        <v>125</v>
      </c>
      <c r="D30" s="2" t="s">
        <v>160</v>
      </c>
      <c r="E30" s="2">
        <v>362.0</v>
      </c>
      <c r="F30" s="2">
        <v>415.0</v>
      </c>
    </row>
    <row r="31" ht="22.5" customHeight="1">
      <c r="A31" s="24">
        <v>46074.0</v>
      </c>
      <c r="B31" s="2" t="s">
        <v>129</v>
      </c>
      <c r="C31" s="2" t="s">
        <v>126</v>
      </c>
      <c r="D31" s="2" t="s">
        <v>160</v>
      </c>
      <c r="E31" s="2">
        <v>150.0</v>
      </c>
      <c r="F31" s="2">
        <v>325.0</v>
      </c>
    </row>
    <row r="32" ht="22.5" customHeight="1">
      <c r="A32" s="24">
        <v>46074.0</v>
      </c>
      <c r="B32" s="2" t="s">
        <v>129</v>
      </c>
      <c r="C32" s="2" t="s">
        <v>127</v>
      </c>
      <c r="D32" s="2" t="s">
        <v>160</v>
      </c>
      <c r="E32" s="2">
        <v>280.0</v>
      </c>
      <c r="F32" s="2">
        <v>280.0</v>
      </c>
    </row>
    <row r="33" ht="22.5" customHeight="1">
      <c r="A33" s="24">
        <v>46074.0</v>
      </c>
      <c r="B33" s="2" t="s">
        <v>129</v>
      </c>
      <c r="C33" s="2" t="s">
        <v>163</v>
      </c>
      <c r="D33" s="2" t="s">
        <v>160</v>
      </c>
      <c r="E33" s="2">
        <v>170.0</v>
      </c>
      <c r="F33" s="2">
        <v>170.0</v>
      </c>
    </row>
    <row r="34" ht="22.5" customHeight="1">
      <c r="A34" s="24">
        <v>46074.0</v>
      </c>
      <c r="B34" s="2" t="s">
        <v>169</v>
      </c>
      <c r="C34" s="2" t="s">
        <v>170</v>
      </c>
      <c r="D34" s="2" t="s">
        <v>171</v>
      </c>
      <c r="E34" s="2">
        <v>300.0</v>
      </c>
      <c r="F34" s="2">
        <v>675.0</v>
      </c>
    </row>
  </sheetData>
  <dataValidations>
    <dataValidation type="custom" allowBlank="1" showDropDown="1" sqref="A2:A34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3" max="3" width="15.25"/>
    <col customWidth="1" min="7" max="7" width="32.75"/>
    <col customWidth="1" min="8" max="8" width="21.5"/>
    <col customWidth="1" min="9" max="9" width="21.0"/>
  </cols>
  <sheetData>
    <row r="1" ht="22.5" customHeight="1">
      <c r="A1" s="1" t="s">
        <v>0</v>
      </c>
      <c r="B1" s="1" t="s">
        <v>74</v>
      </c>
      <c r="C1" s="1" t="s">
        <v>75</v>
      </c>
      <c r="D1" s="1" t="s">
        <v>172</v>
      </c>
      <c r="E1" s="1" t="s">
        <v>173</v>
      </c>
      <c r="F1" s="1" t="s">
        <v>76</v>
      </c>
      <c r="G1" s="1" t="s">
        <v>174</v>
      </c>
      <c r="H1" s="1" t="s">
        <v>175</v>
      </c>
      <c r="I1" s="1" t="s">
        <v>176</v>
      </c>
    </row>
    <row r="2" ht="22.5" customHeight="1">
      <c r="A2" s="2" t="s">
        <v>96</v>
      </c>
      <c r="B2" s="25">
        <v>46062.0</v>
      </c>
      <c r="C2" s="3">
        <v>2397.0</v>
      </c>
      <c r="D2" s="2">
        <v>84.0</v>
      </c>
      <c r="E2" s="2">
        <v>235.0</v>
      </c>
      <c r="F2" s="2" t="s">
        <v>83</v>
      </c>
      <c r="G2" s="3">
        <v>4794000.0</v>
      </c>
      <c r="H2" s="3">
        <v>2.397E8</v>
      </c>
      <c r="I2" s="3">
        <v>1051.0</v>
      </c>
    </row>
    <row r="3" ht="22.5" customHeight="1">
      <c r="A3" s="2" t="s">
        <v>82</v>
      </c>
      <c r="B3" s="2" t="s">
        <v>177</v>
      </c>
      <c r="C3" s="3">
        <v>1722.0</v>
      </c>
      <c r="D3" s="2" t="s">
        <v>178</v>
      </c>
      <c r="E3" s="2" t="s">
        <v>178</v>
      </c>
      <c r="F3" s="2" t="s">
        <v>83</v>
      </c>
      <c r="G3" s="3">
        <v>3444000.0</v>
      </c>
      <c r="H3" s="3">
        <v>1.722E8</v>
      </c>
      <c r="I3" s="2">
        <v>754.0</v>
      </c>
    </row>
    <row r="4" ht="22.5" customHeight="1">
      <c r="A4" s="2" t="s">
        <v>99</v>
      </c>
      <c r="B4" s="25">
        <v>46059.0</v>
      </c>
      <c r="C4" s="3">
        <v>1558.0</v>
      </c>
      <c r="D4" s="2" t="s">
        <v>178</v>
      </c>
      <c r="E4" s="2" t="s">
        <v>178</v>
      </c>
      <c r="F4" s="2" t="s">
        <v>83</v>
      </c>
      <c r="G4" s="3">
        <v>3116000.0</v>
      </c>
      <c r="H4" s="3">
        <v>1.558E8</v>
      </c>
      <c r="I4" s="2">
        <v>683.0</v>
      </c>
    </row>
    <row r="5" ht="22.5" customHeight="1">
      <c r="A5" s="2" t="s">
        <v>84</v>
      </c>
      <c r="B5" s="25">
        <v>46064.0</v>
      </c>
      <c r="C5" s="2">
        <v>892.0</v>
      </c>
      <c r="D5" s="2">
        <v>56.0</v>
      </c>
      <c r="E5" s="2">
        <v>134.0</v>
      </c>
      <c r="F5" s="2" t="s">
        <v>85</v>
      </c>
      <c r="G5" s="3">
        <v>1784000.0</v>
      </c>
      <c r="H5" s="3">
        <v>8.92E7</v>
      </c>
      <c r="I5" s="2">
        <v>391.0</v>
      </c>
    </row>
    <row r="6" ht="22.5" customHeight="1">
      <c r="A6" s="2" t="s">
        <v>86</v>
      </c>
      <c r="B6" s="25">
        <v>46063.0</v>
      </c>
      <c r="C6" s="2">
        <v>883.0</v>
      </c>
      <c r="D6" s="2" t="s">
        <v>178</v>
      </c>
      <c r="E6" s="2" t="s">
        <v>178</v>
      </c>
      <c r="F6" s="2" t="s">
        <v>85</v>
      </c>
      <c r="G6" s="3">
        <v>1766000.0</v>
      </c>
      <c r="H6" s="3">
        <v>8.83E7</v>
      </c>
      <c r="I6" s="2">
        <v>387.0</v>
      </c>
    </row>
    <row r="7" ht="22.5" customHeight="1">
      <c r="A7" s="2" t="s">
        <v>88</v>
      </c>
      <c r="B7" s="25">
        <v>46059.0</v>
      </c>
      <c r="C7" s="2">
        <v>748.0</v>
      </c>
      <c r="D7" s="2" t="s">
        <v>178</v>
      </c>
      <c r="E7" s="2" t="s">
        <v>178</v>
      </c>
      <c r="F7" s="2" t="s">
        <v>85</v>
      </c>
      <c r="G7" s="3">
        <v>1496000.0</v>
      </c>
      <c r="H7" s="3">
        <v>7.48E7</v>
      </c>
      <c r="I7" s="2">
        <v>328.0</v>
      </c>
    </row>
    <row r="8" ht="22.5" customHeight="1">
      <c r="A8" s="2" t="s">
        <v>89</v>
      </c>
      <c r="B8" s="25">
        <v>46064.0</v>
      </c>
      <c r="C8" s="2">
        <v>360.0</v>
      </c>
      <c r="D8" s="2" t="s">
        <v>178</v>
      </c>
      <c r="E8" s="2" t="s">
        <v>178</v>
      </c>
      <c r="F8" s="2" t="s">
        <v>90</v>
      </c>
      <c r="G8" s="3">
        <v>720000.0</v>
      </c>
      <c r="H8" s="3">
        <v>3.6E7</v>
      </c>
      <c r="I8" s="2">
        <v>158.0</v>
      </c>
    </row>
    <row r="11">
      <c r="A11" s="10" t="s">
        <v>179</v>
      </c>
    </row>
  </sheetData>
  <dataValidations>
    <dataValidation type="custom" allowBlank="1" showDropDown="1" sqref="G2:H8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0"/>
    <col customWidth="1" min="6" max="6" width="20.88"/>
  </cols>
  <sheetData>
    <row r="1" ht="22.5" customHeight="1">
      <c r="A1" s="11" t="s">
        <v>113</v>
      </c>
      <c r="B1" s="11" t="s">
        <v>180</v>
      </c>
      <c r="C1" s="11" t="s">
        <v>181</v>
      </c>
      <c r="D1" s="11" t="s">
        <v>172</v>
      </c>
    </row>
    <row r="2" ht="22.5" customHeight="1">
      <c r="A2" s="24">
        <v>46027.0</v>
      </c>
      <c r="B2" s="2">
        <v>1359.0</v>
      </c>
      <c r="C2" s="2">
        <v>188.0</v>
      </c>
      <c r="D2" s="2">
        <v>64.0</v>
      </c>
    </row>
    <row r="3" ht="22.5" customHeight="1">
      <c r="A3" s="24">
        <v>46034.0</v>
      </c>
      <c r="B3" s="2">
        <v>1984.0</v>
      </c>
      <c r="C3" s="2">
        <v>241.0</v>
      </c>
      <c r="D3" s="2">
        <v>72.0</v>
      </c>
    </row>
    <row r="4" ht="22.5" customHeight="1">
      <c r="A4" s="24">
        <v>46041.0</v>
      </c>
      <c r="B4" s="2">
        <v>2673.0</v>
      </c>
      <c r="C4" s="2">
        <v>212.0</v>
      </c>
      <c r="D4" s="2">
        <v>71.0</v>
      </c>
    </row>
    <row r="5" ht="22.5" customHeight="1">
      <c r="A5" s="24">
        <v>46048.0</v>
      </c>
      <c r="B5" s="2">
        <v>650.0</v>
      </c>
      <c r="C5" s="2">
        <v>63.0</v>
      </c>
      <c r="D5" s="2">
        <v>35.0</v>
      </c>
    </row>
    <row r="6" ht="22.5" customHeight="1">
      <c r="A6" s="24">
        <v>46062.0</v>
      </c>
      <c r="B6" s="2">
        <v>2397.0</v>
      </c>
      <c r="C6" s="2">
        <v>235.0</v>
      </c>
      <c r="D6" s="2">
        <v>84.0</v>
      </c>
    </row>
    <row r="7" ht="22.5" customHeight="1">
      <c r="A7" s="24">
        <v>46069.0</v>
      </c>
      <c r="B7" s="2">
        <v>1932.0</v>
      </c>
      <c r="C7" s="2">
        <v>229.0</v>
      </c>
      <c r="D7" s="2">
        <v>71.0</v>
      </c>
    </row>
  </sheetData>
  <dataValidations>
    <dataValidation type="custom" allowBlank="1" showDropDown="1" sqref="A2:A7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38"/>
    <col customWidth="1" min="3" max="3" width="18.25"/>
    <col customWidth="1" min="4" max="4" width="13.0"/>
    <col customWidth="1" min="5" max="5" width="15.38"/>
    <col customWidth="1" min="6" max="6" width="16.0"/>
    <col customWidth="1" min="7" max="7" width="19.75"/>
    <col customWidth="1" min="8" max="8" width="17.88"/>
    <col customWidth="1" min="9" max="9" width="19.88"/>
  </cols>
  <sheetData>
    <row r="1" ht="22.5" customHeight="1">
      <c r="A1" s="11" t="s">
        <v>182</v>
      </c>
      <c r="B1" s="11" t="s">
        <v>183</v>
      </c>
      <c r="C1" s="11" t="s">
        <v>184</v>
      </c>
      <c r="D1" s="11" t="s">
        <v>185</v>
      </c>
      <c r="E1" s="11" t="s">
        <v>186</v>
      </c>
      <c r="F1" s="26" t="s">
        <v>187</v>
      </c>
      <c r="G1" s="13" t="s">
        <v>188</v>
      </c>
      <c r="H1" s="13" t="s">
        <v>189</v>
      </c>
      <c r="I1" s="13" t="s">
        <v>190</v>
      </c>
    </row>
    <row r="2" ht="22.5" customHeight="1">
      <c r="A2" s="24">
        <v>46027.0</v>
      </c>
      <c r="B2" s="27" t="s">
        <v>191</v>
      </c>
      <c r="C2" s="28"/>
      <c r="D2" s="27" t="s">
        <v>192</v>
      </c>
      <c r="E2" s="29">
        <v>2650.0</v>
      </c>
      <c r="F2" s="29">
        <v>3300.0</v>
      </c>
      <c r="G2" s="30">
        <f t="shared" ref="G2:G211" si="1">(E2+F2)/2</f>
        <v>2975</v>
      </c>
      <c r="H2" s="30">
        <f t="shared" ref="H2:H211" si="2">F2-E2</f>
        <v>650</v>
      </c>
      <c r="I2" s="31">
        <f t="shared" ref="I2:I211" si="3">(F2-E2)/G2</f>
        <v>0.218487395</v>
      </c>
    </row>
    <row r="3" ht="22.5" customHeight="1">
      <c r="A3" s="24">
        <v>46027.0</v>
      </c>
      <c r="B3" s="27" t="s">
        <v>191</v>
      </c>
      <c r="C3" s="28"/>
      <c r="D3" s="27" t="s">
        <v>193</v>
      </c>
      <c r="E3" s="29">
        <v>1850.0</v>
      </c>
      <c r="F3" s="29">
        <v>2650.0</v>
      </c>
      <c r="G3" s="30">
        <f t="shared" si="1"/>
        <v>2250</v>
      </c>
      <c r="H3" s="30">
        <f t="shared" si="2"/>
        <v>800</v>
      </c>
      <c r="I3" s="31">
        <f t="shared" si="3"/>
        <v>0.3555555556</v>
      </c>
    </row>
    <row r="4" ht="22.5" customHeight="1">
      <c r="A4" s="24">
        <v>46027.0</v>
      </c>
      <c r="B4" s="27" t="s">
        <v>194</v>
      </c>
      <c r="C4" s="28"/>
      <c r="D4" s="27" t="s">
        <v>192</v>
      </c>
      <c r="E4" s="29">
        <v>2700.0</v>
      </c>
      <c r="F4" s="29">
        <v>3250.0</v>
      </c>
      <c r="G4" s="30">
        <f t="shared" si="1"/>
        <v>2975</v>
      </c>
      <c r="H4" s="30">
        <f t="shared" si="2"/>
        <v>550</v>
      </c>
      <c r="I4" s="31">
        <f t="shared" si="3"/>
        <v>0.1848739496</v>
      </c>
    </row>
    <row r="5" ht="22.5" customHeight="1">
      <c r="A5" s="24">
        <v>46027.0</v>
      </c>
      <c r="B5" s="27" t="s">
        <v>194</v>
      </c>
      <c r="C5" s="28"/>
      <c r="D5" s="27" t="s">
        <v>193</v>
      </c>
      <c r="E5" s="29">
        <v>1800.0</v>
      </c>
      <c r="F5" s="29">
        <v>2700.0</v>
      </c>
      <c r="G5" s="30">
        <f t="shared" si="1"/>
        <v>2250</v>
      </c>
      <c r="H5" s="30">
        <f t="shared" si="2"/>
        <v>900</v>
      </c>
      <c r="I5" s="31">
        <f t="shared" si="3"/>
        <v>0.4</v>
      </c>
    </row>
    <row r="6" ht="22.5" customHeight="1">
      <c r="A6" s="24">
        <v>46027.0</v>
      </c>
      <c r="B6" s="27" t="s">
        <v>194</v>
      </c>
      <c r="C6" s="28"/>
      <c r="D6" s="27" t="s">
        <v>195</v>
      </c>
      <c r="E6" s="29">
        <v>1550.0</v>
      </c>
      <c r="F6" s="29">
        <v>2400.0</v>
      </c>
      <c r="G6" s="30">
        <f t="shared" si="1"/>
        <v>1975</v>
      </c>
      <c r="H6" s="30">
        <f t="shared" si="2"/>
        <v>850</v>
      </c>
      <c r="I6" s="31">
        <f t="shared" si="3"/>
        <v>0.4303797468</v>
      </c>
    </row>
    <row r="7" ht="22.5" customHeight="1">
      <c r="A7" s="24">
        <v>46027.0</v>
      </c>
      <c r="B7" s="27" t="s">
        <v>162</v>
      </c>
      <c r="C7" s="27" t="s">
        <v>196</v>
      </c>
      <c r="D7" s="28"/>
      <c r="E7" s="29">
        <v>1.54</v>
      </c>
      <c r="F7" s="29">
        <v>1.64</v>
      </c>
      <c r="G7" s="30">
        <f t="shared" si="1"/>
        <v>1.59</v>
      </c>
      <c r="H7" s="30">
        <f t="shared" si="2"/>
        <v>0.1</v>
      </c>
      <c r="I7" s="31">
        <f t="shared" si="3"/>
        <v>0.06289308176</v>
      </c>
    </row>
    <row r="8" ht="22.5" customHeight="1">
      <c r="A8" s="24">
        <v>46027.0</v>
      </c>
      <c r="B8" s="27" t="s">
        <v>162</v>
      </c>
      <c r="C8" s="27" t="s">
        <v>197</v>
      </c>
      <c r="D8" s="28"/>
      <c r="E8" s="29">
        <v>1.48</v>
      </c>
      <c r="F8" s="29">
        <v>1.6</v>
      </c>
      <c r="G8" s="30">
        <f t="shared" si="1"/>
        <v>1.54</v>
      </c>
      <c r="H8" s="30">
        <f t="shared" si="2"/>
        <v>0.12</v>
      </c>
      <c r="I8" s="31">
        <f t="shared" si="3"/>
        <v>0.07792207792</v>
      </c>
    </row>
    <row r="9" ht="22.5" customHeight="1">
      <c r="A9" s="24">
        <v>46027.0</v>
      </c>
      <c r="B9" s="27" t="s">
        <v>162</v>
      </c>
      <c r="C9" s="27" t="s">
        <v>146</v>
      </c>
      <c r="D9" s="28"/>
      <c r="E9" s="29">
        <v>1.14</v>
      </c>
      <c r="F9" s="29">
        <v>1.38</v>
      </c>
      <c r="G9" s="30">
        <f t="shared" si="1"/>
        <v>1.26</v>
      </c>
      <c r="H9" s="30">
        <f t="shared" si="2"/>
        <v>0.24</v>
      </c>
      <c r="I9" s="31">
        <f t="shared" si="3"/>
        <v>0.1904761905</v>
      </c>
    </row>
    <row r="10" ht="22.5" customHeight="1">
      <c r="A10" s="24">
        <v>46027.0</v>
      </c>
      <c r="B10" s="27" t="s">
        <v>159</v>
      </c>
      <c r="C10" s="27" t="s">
        <v>198</v>
      </c>
      <c r="D10" s="28"/>
      <c r="E10" s="29">
        <v>1.86</v>
      </c>
      <c r="F10" s="29">
        <v>1.94</v>
      </c>
      <c r="G10" s="30">
        <f t="shared" si="1"/>
        <v>1.9</v>
      </c>
      <c r="H10" s="30">
        <f t="shared" si="2"/>
        <v>0.08</v>
      </c>
      <c r="I10" s="31">
        <f t="shared" si="3"/>
        <v>0.04210526316</v>
      </c>
    </row>
    <row r="11" ht="22.5" customHeight="1">
      <c r="A11" s="24">
        <v>46027.0</v>
      </c>
      <c r="B11" s="27" t="s">
        <v>159</v>
      </c>
      <c r="C11" s="27" t="s">
        <v>199</v>
      </c>
      <c r="D11" s="28"/>
      <c r="E11" s="29">
        <v>1.76</v>
      </c>
      <c r="F11" s="29">
        <v>1.86</v>
      </c>
      <c r="G11" s="30">
        <f t="shared" si="1"/>
        <v>1.81</v>
      </c>
      <c r="H11" s="30">
        <f t="shared" si="2"/>
        <v>0.1</v>
      </c>
      <c r="I11" s="31">
        <f t="shared" si="3"/>
        <v>0.05524861878</v>
      </c>
    </row>
    <row r="12" ht="22.5" customHeight="1">
      <c r="A12" s="24">
        <v>46027.0</v>
      </c>
      <c r="B12" s="27" t="s">
        <v>159</v>
      </c>
      <c r="C12" s="27" t="s">
        <v>200</v>
      </c>
      <c r="D12" s="28"/>
      <c r="E12" s="29">
        <v>1.66</v>
      </c>
      <c r="F12" s="29">
        <v>1.76</v>
      </c>
      <c r="G12" s="30">
        <f t="shared" si="1"/>
        <v>1.71</v>
      </c>
      <c r="H12" s="30">
        <f t="shared" si="2"/>
        <v>0.1</v>
      </c>
      <c r="I12" s="31">
        <f t="shared" si="3"/>
        <v>0.05847953216</v>
      </c>
    </row>
    <row r="13" ht="22.5" customHeight="1">
      <c r="A13" s="24">
        <v>46027.0</v>
      </c>
      <c r="B13" s="27" t="s">
        <v>201</v>
      </c>
      <c r="C13" s="27" t="s">
        <v>202</v>
      </c>
      <c r="D13" s="27" t="s">
        <v>192</v>
      </c>
      <c r="E13" s="29">
        <v>5.74</v>
      </c>
      <c r="F13" s="29">
        <v>6.25</v>
      </c>
      <c r="G13" s="30">
        <f t="shared" si="1"/>
        <v>5.995</v>
      </c>
      <c r="H13" s="30">
        <f t="shared" si="2"/>
        <v>0.51</v>
      </c>
      <c r="I13" s="31">
        <f t="shared" si="3"/>
        <v>0.08507089241</v>
      </c>
    </row>
    <row r="14" ht="22.5" customHeight="1">
      <c r="A14" s="24">
        <v>46027.0</v>
      </c>
      <c r="B14" s="27" t="s">
        <v>201</v>
      </c>
      <c r="C14" s="27" t="s">
        <v>202</v>
      </c>
      <c r="D14" s="27" t="s">
        <v>193</v>
      </c>
      <c r="E14" s="29">
        <v>4.48</v>
      </c>
      <c r="F14" s="29">
        <v>5.74</v>
      </c>
      <c r="G14" s="30">
        <f t="shared" si="1"/>
        <v>5.11</v>
      </c>
      <c r="H14" s="30">
        <f t="shared" si="2"/>
        <v>1.26</v>
      </c>
      <c r="I14" s="31">
        <f t="shared" si="3"/>
        <v>0.2465753425</v>
      </c>
    </row>
    <row r="15" ht="22.5" customHeight="1">
      <c r="A15" s="24">
        <v>46027.0</v>
      </c>
      <c r="B15" s="27" t="s">
        <v>203</v>
      </c>
      <c r="C15" s="27" t="s">
        <v>202</v>
      </c>
      <c r="D15" s="27" t="s">
        <v>192</v>
      </c>
      <c r="E15" s="29">
        <v>5.2</v>
      </c>
      <c r="F15" s="29">
        <v>6.4</v>
      </c>
      <c r="G15" s="30">
        <f t="shared" si="1"/>
        <v>5.8</v>
      </c>
      <c r="H15" s="30">
        <f t="shared" si="2"/>
        <v>1.2</v>
      </c>
      <c r="I15" s="31">
        <f t="shared" si="3"/>
        <v>0.2068965517</v>
      </c>
    </row>
    <row r="16" ht="22.5" customHeight="1">
      <c r="A16" s="24">
        <v>46027.0</v>
      </c>
      <c r="B16" s="27" t="s">
        <v>203</v>
      </c>
      <c r="C16" s="27" t="s">
        <v>202</v>
      </c>
      <c r="D16" s="27" t="s">
        <v>193</v>
      </c>
      <c r="E16" s="29">
        <v>4.2</v>
      </c>
      <c r="F16" s="29">
        <v>5.2</v>
      </c>
      <c r="G16" s="30">
        <f t="shared" si="1"/>
        <v>4.7</v>
      </c>
      <c r="H16" s="30">
        <f t="shared" si="2"/>
        <v>1</v>
      </c>
      <c r="I16" s="31">
        <f t="shared" si="3"/>
        <v>0.2127659574</v>
      </c>
    </row>
    <row r="17" ht="22.5" customHeight="1">
      <c r="A17" s="24">
        <v>46027.0</v>
      </c>
      <c r="B17" s="27" t="s">
        <v>201</v>
      </c>
      <c r="C17" s="27" t="s">
        <v>204</v>
      </c>
      <c r="D17" s="27" t="s">
        <v>192</v>
      </c>
      <c r="E17" s="29">
        <v>5.1</v>
      </c>
      <c r="F17" s="29">
        <v>5.9</v>
      </c>
      <c r="G17" s="30">
        <f t="shared" si="1"/>
        <v>5.5</v>
      </c>
      <c r="H17" s="30">
        <f t="shared" si="2"/>
        <v>0.8</v>
      </c>
      <c r="I17" s="31">
        <f t="shared" si="3"/>
        <v>0.1454545455</v>
      </c>
    </row>
    <row r="18" ht="22.5" customHeight="1">
      <c r="A18" s="24">
        <v>46027.0</v>
      </c>
      <c r="B18" s="27" t="s">
        <v>201</v>
      </c>
      <c r="C18" s="27" t="s">
        <v>204</v>
      </c>
      <c r="D18" s="27" t="s">
        <v>193</v>
      </c>
      <c r="E18" s="29">
        <v>4.4</v>
      </c>
      <c r="F18" s="29">
        <v>5.1</v>
      </c>
      <c r="G18" s="30">
        <f t="shared" si="1"/>
        <v>4.75</v>
      </c>
      <c r="H18" s="30">
        <f t="shared" si="2"/>
        <v>0.7</v>
      </c>
      <c r="I18" s="31">
        <f t="shared" si="3"/>
        <v>0.1473684211</v>
      </c>
    </row>
    <row r="19" ht="22.5" customHeight="1">
      <c r="A19" s="24">
        <v>46027.0</v>
      </c>
      <c r="B19" s="27" t="s">
        <v>203</v>
      </c>
      <c r="C19" s="27" t="s">
        <v>204</v>
      </c>
      <c r="D19" s="27" t="s">
        <v>192</v>
      </c>
      <c r="E19" s="29">
        <v>4.6</v>
      </c>
      <c r="F19" s="29">
        <v>5.2</v>
      </c>
      <c r="G19" s="30">
        <f t="shared" si="1"/>
        <v>4.9</v>
      </c>
      <c r="H19" s="30">
        <f t="shared" si="2"/>
        <v>0.6</v>
      </c>
      <c r="I19" s="31">
        <f t="shared" si="3"/>
        <v>0.1224489796</v>
      </c>
    </row>
    <row r="20" ht="22.5" customHeight="1">
      <c r="A20" s="24">
        <v>46027.0</v>
      </c>
      <c r="B20" s="27" t="s">
        <v>203</v>
      </c>
      <c r="C20" s="27" t="s">
        <v>204</v>
      </c>
      <c r="D20" s="27" t="s">
        <v>193</v>
      </c>
      <c r="E20" s="29">
        <v>3.92</v>
      </c>
      <c r="F20" s="29">
        <v>4.6</v>
      </c>
      <c r="G20" s="30">
        <f t="shared" si="1"/>
        <v>4.26</v>
      </c>
      <c r="H20" s="30">
        <f t="shared" si="2"/>
        <v>0.68</v>
      </c>
      <c r="I20" s="31">
        <f t="shared" si="3"/>
        <v>0.1596244131</v>
      </c>
    </row>
    <row r="21" ht="22.5" customHeight="1">
      <c r="A21" s="24">
        <v>46027.0</v>
      </c>
      <c r="B21" s="27" t="s">
        <v>201</v>
      </c>
      <c r="C21" s="27" t="s">
        <v>205</v>
      </c>
      <c r="D21" s="27" t="s">
        <v>192</v>
      </c>
      <c r="E21" s="29">
        <v>4.74</v>
      </c>
      <c r="F21" s="29">
        <v>5.46</v>
      </c>
      <c r="G21" s="30">
        <f t="shared" si="1"/>
        <v>5.1</v>
      </c>
      <c r="H21" s="30">
        <f t="shared" si="2"/>
        <v>0.72</v>
      </c>
      <c r="I21" s="31">
        <f t="shared" si="3"/>
        <v>0.1411764706</v>
      </c>
    </row>
    <row r="22" ht="22.5" customHeight="1">
      <c r="A22" s="24">
        <v>46027.0</v>
      </c>
      <c r="B22" s="27" t="s">
        <v>201</v>
      </c>
      <c r="C22" s="27" t="s">
        <v>205</v>
      </c>
      <c r="D22" s="27" t="s">
        <v>193</v>
      </c>
      <c r="E22" s="29">
        <v>4.16</v>
      </c>
      <c r="F22" s="29">
        <v>4.74</v>
      </c>
      <c r="G22" s="30">
        <f t="shared" si="1"/>
        <v>4.45</v>
      </c>
      <c r="H22" s="30">
        <f t="shared" si="2"/>
        <v>0.58</v>
      </c>
      <c r="I22" s="31">
        <f t="shared" si="3"/>
        <v>0.1303370787</v>
      </c>
    </row>
    <row r="23" ht="22.5" customHeight="1">
      <c r="A23" s="24">
        <v>46027.0</v>
      </c>
      <c r="B23" s="27" t="s">
        <v>203</v>
      </c>
      <c r="C23" s="27" t="s">
        <v>205</v>
      </c>
      <c r="D23" s="27" t="s">
        <v>192</v>
      </c>
      <c r="E23" s="29">
        <v>4.12</v>
      </c>
      <c r="F23" s="29">
        <v>4.68</v>
      </c>
      <c r="G23" s="30">
        <f t="shared" si="1"/>
        <v>4.4</v>
      </c>
      <c r="H23" s="30">
        <f t="shared" si="2"/>
        <v>0.56</v>
      </c>
      <c r="I23" s="31">
        <f t="shared" si="3"/>
        <v>0.1272727273</v>
      </c>
    </row>
    <row r="24" ht="22.5" customHeight="1">
      <c r="A24" s="24">
        <v>46027.0</v>
      </c>
      <c r="B24" s="27" t="s">
        <v>203</v>
      </c>
      <c r="C24" s="27" t="s">
        <v>205</v>
      </c>
      <c r="D24" s="27" t="s">
        <v>193</v>
      </c>
      <c r="E24" s="29">
        <v>3.82</v>
      </c>
      <c r="F24" s="29">
        <v>4.12</v>
      </c>
      <c r="G24" s="30">
        <f t="shared" si="1"/>
        <v>3.97</v>
      </c>
      <c r="H24" s="30">
        <f t="shared" si="2"/>
        <v>0.3</v>
      </c>
      <c r="I24" s="31">
        <f t="shared" si="3"/>
        <v>0.07556675063</v>
      </c>
    </row>
    <row r="25" ht="22.5" customHeight="1">
      <c r="A25" s="24">
        <v>46027.0</v>
      </c>
      <c r="B25" s="27" t="s">
        <v>201</v>
      </c>
      <c r="C25" s="27" t="s">
        <v>206</v>
      </c>
      <c r="D25" s="27" t="s">
        <v>192</v>
      </c>
      <c r="E25" s="29">
        <v>4.08</v>
      </c>
      <c r="F25" s="29">
        <v>4.88</v>
      </c>
      <c r="G25" s="30">
        <f t="shared" si="1"/>
        <v>4.48</v>
      </c>
      <c r="H25" s="30">
        <f t="shared" si="2"/>
        <v>0.8</v>
      </c>
      <c r="I25" s="31">
        <f t="shared" si="3"/>
        <v>0.1785714286</v>
      </c>
    </row>
    <row r="26" ht="22.5" customHeight="1">
      <c r="A26" s="24">
        <v>46027.0</v>
      </c>
      <c r="B26" s="27" t="s">
        <v>201</v>
      </c>
      <c r="C26" s="27" t="s">
        <v>206</v>
      </c>
      <c r="D26" s="27" t="s">
        <v>193</v>
      </c>
      <c r="E26" s="29">
        <v>3.62</v>
      </c>
      <c r="F26" s="29">
        <v>4.08</v>
      </c>
      <c r="G26" s="30">
        <f t="shared" si="1"/>
        <v>3.85</v>
      </c>
      <c r="H26" s="30">
        <f t="shared" si="2"/>
        <v>0.46</v>
      </c>
      <c r="I26" s="31">
        <f t="shared" si="3"/>
        <v>0.1194805195</v>
      </c>
    </row>
    <row r="27" ht="22.5" customHeight="1">
      <c r="A27" s="24">
        <v>46027.0</v>
      </c>
      <c r="B27" s="27" t="s">
        <v>203</v>
      </c>
      <c r="C27" s="27" t="s">
        <v>206</v>
      </c>
      <c r="D27" s="27" t="s">
        <v>192</v>
      </c>
      <c r="E27" s="29">
        <v>3.82</v>
      </c>
      <c r="F27" s="29">
        <v>4.26</v>
      </c>
      <c r="G27" s="30">
        <f t="shared" si="1"/>
        <v>4.04</v>
      </c>
      <c r="H27" s="30">
        <f t="shared" si="2"/>
        <v>0.44</v>
      </c>
      <c r="I27" s="31">
        <f t="shared" si="3"/>
        <v>0.1089108911</v>
      </c>
    </row>
    <row r="28" ht="22.5" customHeight="1">
      <c r="A28" s="24">
        <v>46027.0</v>
      </c>
      <c r="B28" s="27" t="s">
        <v>203</v>
      </c>
      <c r="C28" s="27" t="s">
        <v>206</v>
      </c>
      <c r="D28" s="27" t="s">
        <v>193</v>
      </c>
      <c r="E28" s="29">
        <v>3.28</v>
      </c>
      <c r="F28" s="29">
        <v>3.82</v>
      </c>
      <c r="G28" s="30">
        <f t="shared" si="1"/>
        <v>3.55</v>
      </c>
      <c r="H28" s="30">
        <f t="shared" si="2"/>
        <v>0.54</v>
      </c>
      <c r="I28" s="31">
        <f t="shared" si="3"/>
        <v>0.1521126761</v>
      </c>
    </row>
    <row r="29" ht="22.5" customHeight="1">
      <c r="A29" s="24">
        <v>46027.0</v>
      </c>
      <c r="B29" s="27" t="s">
        <v>201</v>
      </c>
      <c r="C29" s="27" t="s">
        <v>207</v>
      </c>
      <c r="D29" s="27" t="s">
        <v>192</v>
      </c>
      <c r="E29" s="29">
        <v>3.68</v>
      </c>
      <c r="F29" s="29">
        <v>4.06</v>
      </c>
      <c r="G29" s="30">
        <f t="shared" si="1"/>
        <v>3.87</v>
      </c>
      <c r="H29" s="30">
        <f t="shared" si="2"/>
        <v>0.38</v>
      </c>
      <c r="I29" s="31">
        <f t="shared" si="3"/>
        <v>0.09819121447</v>
      </c>
    </row>
    <row r="30" ht="22.5" customHeight="1">
      <c r="A30" s="24">
        <v>46027.0</v>
      </c>
      <c r="B30" s="27" t="s">
        <v>201</v>
      </c>
      <c r="C30" s="27" t="s">
        <v>207</v>
      </c>
      <c r="D30" s="27" t="s">
        <v>193</v>
      </c>
      <c r="E30" s="29">
        <v>3.1</v>
      </c>
      <c r="F30" s="29">
        <v>3.68</v>
      </c>
      <c r="G30" s="30">
        <f t="shared" si="1"/>
        <v>3.39</v>
      </c>
      <c r="H30" s="30">
        <f t="shared" si="2"/>
        <v>0.58</v>
      </c>
      <c r="I30" s="31">
        <f t="shared" si="3"/>
        <v>0.1710914454</v>
      </c>
    </row>
    <row r="31" ht="22.5" customHeight="1">
      <c r="A31" s="24">
        <v>46027.0</v>
      </c>
      <c r="B31" s="27" t="s">
        <v>203</v>
      </c>
      <c r="C31" s="27" t="s">
        <v>207</v>
      </c>
      <c r="D31" s="27" t="s">
        <v>192</v>
      </c>
      <c r="E31" s="29">
        <v>3.44</v>
      </c>
      <c r="F31" s="29">
        <v>3.92</v>
      </c>
      <c r="G31" s="30">
        <f t="shared" si="1"/>
        <v>3.68</v>
      </c>
      <c r="H31" s="30">
        <f t="shared" si="2"/>
        <v>0.48</v>
      </c>
      <c r="I31" s="31">
        <f t="shared" si="3"/>
        <v>0.1304347826</v>
      </c>
    </row>
    <row r="32" ht="22.5" customHeight="1">
      <c r="A32" s="24">
        <v>46027.0</v>
      </c>
      <c r="B32" s="27" t="s">
        <v>203</v>
      </c>
      <c r="C32" s="27" t="s">
        <v>207</v>
      </c>
      <c r="D32" s="27" t="s">
        <v>193</v>
      </c>
      <c r="E32" s="29">
        <v>3.06</v>
      </c>
      <c r="F32" s="29">
        <v>3.44</v>
      </c>
      <c r="G32" s="30">
        <f t="shared" si="1"/>
        <v>3.25</v>
      </c>
      <c r="H32" s="30">
        <f t="shared" si="2"/>
        <v>0.38</v>
      </c>
      <c r="I32" s="31">
        <f t="shared" si="3"/>
        <v>0.1169230769</v>
      </c>
    </row>
    <row r="33" ht="22.5" customHeight="1">
      <c r="A33" s="24">
        <v>46027.0</v>
      </c>
      <c r="B33" s="27" t="s">
        <v>201</v>
      </c>
      <c r="C33" s="27" t="s">
        <v>208</v>
      </c>
      <c r="D33" s="27" t="s">
        <v>192</v>
      </c>
      <c r="E33" s="29">
        <v>3.24</v>
      </c>
      <c r="F33" s="29">
        <v>3.68</v>
      </c>
      <c r="G33" s="30">
        <f t="shared" si="1"/>
        <v>3.46</v>
      </c>
      <c r="H33" s="30">
        <f t="shared" si="2"/>
        <v>0.44</v>
      </c>
      <c r="I33" s="31">
        <f t="shared" si="3"/>
        <v>0.1271676301</v>
      </c>
    </row>
    <row r="34" ht="22.5" customHeight="1">
      <c r="A34" s="24">
        <v>46027.0</v>
      </c>
      <c r="B34" s="27" t="s">
        <v>201</v>
      </c>
      <c r="C34" s="27" t="s">
        <v>208</v>
      </c>
      <c r="D34" s="27" t="s">
        <v>193</v>
      </c>
      <c r="E34" s="29">
        <v>2.92</v>
      </c>
      <c r="F34" s="29">
        <v>3.24</v>
      </c>
      <c r="G34" s="30">
        <f t="shared" si="1"/>
        <v>3.08</v>
      </c>
      <c r="H34" s="30">
        <f t="shared" si="2"/>
        <v>0.32</v>
      </c>
      <c r="I34" s="31">
        <f t="shared" si="3"/>
        <v>0.1038961039</v>
      </c>
    </row>
    <row r="35" ht="22.5" customHeight="1">
      <c r="A35" s="24">
        <v>46027.0</v>
      </c>
      <c r="B35" s="27" t="s">
        <v>203</v>
      </c>
      <c r="C35" s="27" t="s">
        <v>208</v>
      </c>
      <c r="D35" s="27" t="s">
        <v>192</v>
      </c>
      <c r="E35" s="29">
        <v>3.18</v>
      </c>
      <c r="F35" s="29">
        <v>3.46</v>
      </c>
      <c r="G35" s="30">
        <f t="shared" si="1"/>
        <v>3.32</v>
      </c>
      <c r="H35" s="30">
        <f t="shared" si="2"/>
        <v>0.28</v>
      </c>
      <c r="I35" s="31">
        <f t="shared" si="3"/>
        <v>0.0843373494</v>
      </c>
    </row>
    <row r="36" ht="22.5" customHeight="1">
      <c r="A36" s="24">
        <v>46027.0</v>
      </c>
      <c r="B36" s="27" t="s">
        <v>203</v>
      </c>
      <c r="C36" s="27" t="s">
        <v>208</v>
      </c>
      <c r="D36" s="27" t="s">
        <v>193</v>
      </c>
      <c r="E36" s="29">
        <v>2.88</v>
      </c>
      <c r="F36" s="29">
        <v>3.18</v>
      </c>
      <c r="G36" s="30">
        <f t="shared" si="1"/>
        <v>3.03</v>
      </c>
      <c r="H36" s="30">
        <f t="shared" si="2"/>
        <v>0.3</v>
      </c>
      <c r="I36" s="31">
        <f t="shared" si="3"/>
        <v>0.09900990099</v>
      </c>
    </row>
    <row r="37" ht="22.5" customHeight="1">
      <c r="A37" s="24">
        <v>46034.0</v>
      </c>
      <c r="B37" s="27" t="s">
        <v>191</v>
      </c>
      <c r="C37" s="28"/>
      <c r="D37" s="27" t="s">
        <v>192</v>
      </c>
      <c r="E37" s="29">
        <v>2820.0</v>
      </c>
      <c r="F37" s="29">
        <v>3550.0</v>
      </c>
      <c r="G37" s="30">
        <f t="shared" si="1"/>
        <v>3185</v>
      </c>
      <c r="H37" s="30">
        <f t="shared" si="2"/>
        <v>730</v>
      </c>
      <c r="I37" s="31">
        <f t="shared" si="3"/>
        <v>0.2291993721</v>
      </c>
    </row>
    <row r="38" ht="22.5" customHeight="1">
      <c r="A38" s="24">
        <v>46034.0</v>
      </c>
      <c r="B38" s="27" t="s">
        <v>191</v>
      </c>
      <c r="C38" s="28"/>
      <c r="D38" s="27" t="s">
        <v>193</v>
      </c>
      <c r="E38" s="29">
        <v>2000.0</v>
      </c>
      <c r="F38" s="29">
        <v>2800.0</v>
      </c>
      <c r="G38" s="30">
        <f t="shared" si="1"/>
        <v>2400</v>
      </c>
      <c r="H38" s="30">
        <f t="shared" si="2"/>
        <v>800</v>
      </c>
      <c r="I38" s="31">
        <f t="shared" si="3"/>
        <v>0.3333333333</v>
      </c>
    </row>
    <row r="39" ht="22.5" customHeight="1">
      <c r="A39" s="24">
        <v>46034.0</v>
      </c>
      <c r="B39" s="27" t="s">
        <v>194</v>
      </c>
      <c r="C39" s="28"/>
      <c r="D39" s="27" t="s">
        <v>192</v>
      </c>
      <c r="E39" s="29">
        <v>2650.0</v>
      </c>
      <c r="F39" s="29">
        <v>3300.0</v>
      </c>
      <c r="G39" s="30">
        <f t="shared" si="1"/>
        <v>2975</v>
      </c>
      <c r="H39" s="30">
        <f t="shared" si="2"/>
        <v>650</v>
      </c>
      <c r="I39" s="31">
        <f t="shared" si="3"/>
        <v>0.218487395</v>
      </c>
    </row>
    <row r="40" ht="22.5" customHeight="1">
      <c r="A40" s="24">
        <v>46034.0</v>
      </c>
      <c r="B40" s="27" t="s">
        <v>194</v>
      </c>
      <c r="C40" s="28"/>
      <c r="D40" s="27" t="s">
        <v>193</v>
      </c>
      <c r="E40" s="29">
        <v>1850.0</v>
      </c>
      <c r="F40" s="29">
        <v>2650.0</v>
      </c>
      <c r="G40" s="30">
        <f t="shared" si="1"/>
        <v>2250</v>
      </c>
      <c r="H40" s="30">
        <f t="shared" si="2"/>
        <v>800</v>
      </c>
      <c r="I40" s="31">
        <f t="shared" si="3"/>
        <v>0.3555555556</v>
      </c>
    </row>
    <row r="41" ht="22.5" customHeight="1">
      <c r="A41" s="24">
        <v>46034.0</v>
      </c>
      <c r="B41" s="27" t="s">
        <v>194</v>
      </c>
      <c r="C41" s="28"/>
      <c r="D41" s="27" t="s">
        <v>195</v>
      </c>
      <c r="E41" s="29">
        <v>1600.0</v>
      </c>
      <c r="F41" s="29">
        <v>2200.0</v>
      </c>
      <c r="G41" s="30">
        <f t="shared" si="1"/>
        <v>1900</v>
      </c>
      <c r="H41" s="30">
        <f t="shared" si="2"/>
        <v>600</v>
      </c>
      <c r="I41" s="31">
        <f t="shared" si="3"/>
        <v>0.3157894737</v>
      </c>
    </row>
    <row r="42" ht="22.5" customHeight="1">
      <c r="A42" s="24">
        <v>46034.0</v>
      </c>
      <c r="B42" s="27" t="s">
        <v>162</v>
      </c>
      <c r="C42" s="27" t="s">
        <v>196</v>
      </c>
      <c r="D42" s="28"/>
      <c r="E42" s="29">
        <v>1.54</v>
      </c>
      <c r="F42" s="29">
        <v>1.62</v>
      </c>
      <c r="G42" s="30">
        <f t="shared" si="1"/>
        <v>1.58</v>
      </c>
      <c r="H42" s="30">
        <f t="shared" si="2"/>
        <v>0.08</v>
      </c>
      <c r="I42" s="31">
        <f t="shared" si="3"/>
        <v>0.05063291139</v>
      </c>
    </row>
    <row r="43" ht="22.5" customHeight="1">
      <c r="A43" s="24">
        <v>46034.0</v>
      </c>
      <c r="B43" s="27" t="s">
        <v>162</v>
      </c>
      <c r="C43" s="27" t="s">
        <v>197</v>
      </c>
      <c r="D43" s="28"/>
      <c r="E43" s="29">
        <v>1.46</v>
      </c>
      <c r="F43" s="29">
        <v>1.58</v>
      </c>
      <c r="G43" s="30">
        <f t="shared" si="1"/>
        <v>1.52</v>
      </c>
      <c r="H43" s="30">
        <f t="shared" si="2"/>
        <v>0.12</v>
      </c>
      <c r="I43" s="31">
        <f t="shared" si="3"/>
        <v>0.07894736842</v>
      </c>
    </row>
    <row r="44" ht="22.5" customHeight="1">
      <c r="A44" s="24">
        <v>46034.0</v>
      </c>
      <c r="B44" s="27" t="s">
        <v>162</v>
      </c>
      <c r="C44" s="27" t="s">
        <v>146</v>
      </c>
      <c r="D44" s="28"/>
      <c r="E44" s="29">
        <v>1.16</v>
      </c>
      <c r="F44" s="29">
        <v>1.36</v>
      </c>
      <c r="G44" s="30">
        <f t="shared" si="1"/>
        <v>1.26</v>
      </c>
      <c r="H44" s="30">
        <f t="shared" si="2"/>
        <v>0.2</v>
      </c>
      <c r="I44" s="31">
        <f t="shared" si="3"/>
        <v>0.1587301587</v>
      </c>
    </row>
    <row r="45" ht="22.5" customHeight="1">
      <c r="A45" s="24">
        <v>46034.0</v>
      </c>
      <c r="B45" s="27" t="s">
        <v>159</v>
      </c>
      <c r="C45" s="27" t="s">
        <v>198</v>
      </c>
      <c r="D45" s="28"/>
      <c r="E45" s="29">
        <v>1.86</v>
      </c>
      <c r="F45" s="29">
        <v>1.92</v>
      </c>
      <c r="G45" s="30">
        <f t="shared" si="1"/>
        <v>1.89</v>
      </c>
      <c r="H45" s="30">
        <f t="shared" si="2"/>
        <v>0.06</v>
      </c>
      <c r="I45" s="31">
        <f t="shared" si="3"/>
        <v>0.03174603175</v>
      </c>
    </row>
    <row r="46" ht="22.5" customHeight="1">
      <c r="A46" s="24">
        <v>46034.0</v>
      </c>
      <c r="B46" s="27" t="s">
        <v>159</v>
      </c>
      <c r="C46" s="27" t="s">
        <v>199</v>
      </c>
      <c r="D46" s="28"/>
      <c r="E46" s="29">
        <v>1.74</v>
      </c>
      <c r="F46" s="29">
        <v>1.86</v>
      </c>
      <c r="G46" s="30">
        <f t="shared" si="1"/>
        <v>1.8</v>
      </c>
      <c r="H46" s="30">
        <f t="shared" si="2"/>
        <v>0.12</v>
      </c>
      <c r="I46" s="31">
        <f t="shared" si="3"/>
        <v>0.06666666667</v>
      </c>
    </row>
    <row r="47" ht="22.5" customHeight="1">
      <c r="A47" s="24">
        <v>46034.0</v>
      </c>
      <c r="B47" s="27" t="s">
        <v>159</v>
      </c>
      <c r="C47" s="27" t="s">
        <v>200</v>
      </c>
      <c r="D47" s="28"/>
      <c r="E47" s="29">
        <v>1.68</v>
      </c>
      <c r="F47" s="29">
        <v>1.74</v>
      </c>
      <c r="G47" s="30">
        <f t="shared" si="1"/>
        <v>1.71</v>
      </c>
      <c r="H47" s="30">
        <f t="shared" si="2"/>
        <v>0.06</v>
      </c>
      <c r="I47" s="31">
        <f t="shared" si="3"/>
        <v>0.0350877193</v>
      </c>
    </row>
    <row r="48" ht="22.5" customHeight="1">
      <c r="A48" s="24">
        <v>46034.0</v>
      </c>
      <c r="B48" s="27" t="s">
        <v>201</v>
      </c>
      <c r="C48" s="27" t="s">
        <v>202</v>
      </c>
      <c r="D48" s="27" t="s">
        <v>192</v>
      </c>
      <c r="E48" s="29">
        <v>5.84</v>
      </c>
      <c r="F48" s="29">
        <v>6.82</v>
      </c>
      <c r="G48" s="30">
        <f t="shared" si="1"/>
        <v>6.33</v>
      </c>
      <c r="H48" s="30">
        <f t="shared" si="2"/>
        <v>0.98</v>
      </c>
      <c r="I48" s="31">
        <f t="shared" si="3"/>
        <v>0.1548183254</v>
      </c>
    </row>
    <row r="49" ht="22.5" customHeight="1">
      <c r="A49" s="24">
        <v>46034.0</v>
      </c>
      <c r="B49" s="27" t="s">
        <v>201</v>
      </c>
      <c r="C49" s="27" t="s">
        <v>202</v>
      </c>
      <c r="D49" s="27" t="s">
        <v>193</v>
      </c>
      <c r="E49" s="29">
        <v>4.52</v>
      </c>
      <c r="F49" s="29">
        <v>5.84</v>
      </c>
      <c r="G49" s="30">
        <f t="shared" si="1"/>
        <v>5.18</v>
      </c>
      <c r="H49" s="30">
        <f t="shared" si="2"/>
        <v>1.32</v>
      </c>
      <c r="I49" s="31">
        <f t="shared" si="3"/>
        <v>0.2548262548</v>
      </c>
    </row>
    <row r="50" ht="22.5" customHeight="1">
      <c r="A50" s="24">
        <v>46034.0</v>
      </c>
      <c r="B50" s="27" t="s">
        <v>203</v>
      </c>
      <c r="C50" s="27" t="s">
        <v>202</v>
      </c>
      <c r="D50" s="27" t="s">
        <v>192</v>
      </c>
      <c r="E50" s="29">
        <v>5.3</v>
      </c>
      <c r="F50" s="29">
        <v>6.62</v>
      </c>
      <c r="G50" s="30">
        <f t="shared" si="1"/>
        <v>5.96</v>
      </c>
      <c r="H50" s="30">
        <f t="shared" si="2"/>
        <v>1.32</v>
      </c>
      <c r="I50" s="31">
        <f t="shared" si="3"/>
        <v>0.2214765101</v>
      </c>
    </row>
    <row r="51" ht="22.5" customHeight="1">
      <c r="A51" s="24">
        <v>46034.0</v>
      </c>
      <c r="B51" s="27" t="s">
        <v>203</v>
      </c>
      <c r="C51" s="27" t="s">
        <v>202</v>
      </c>
      <c r="D51" s="27" t="s">
        <v>193</v>
      </c>
      <c r="E51" s="29">
        <v>4.28</v>
      </c>
      <c r="F51" s="29">
        <v>5.4</v>
      </c>
      <c r="G51" s="30">
        <f t="shared" si="1"/>
        <v>4.84</v>
      </c>
      <c r="H51" s="30">
        <f t="shared" si="2"/>
        <v>1.12</v>
      </c>
      <c r="I51" s="31">
        <f t="shared" si="3"/>
        <v>0.2314049587</v>
      </c>
    </row>
    <row r="52" ht="22.5" customHeight="1">
      <c r="A52" s="24">
        <v>46034.0</v>
      </c>
      <c r="B52" s="27" t="s">
        <v>201</v>
      </c>
      <c r="C52" s="27" t="s">
        <v>204</v>
      </c>
      <c r="D52" s="27" t="s">
        <v>192</v>
      </c>
      <c r="E52" s="29">
        <v>5.18</v>
      </c>
      <c r="F52" s="29">
        <v>6.14</v>
      </c>
      <c r="G52" s="30">
        <f t="shared" si="1"/>
        <v>5.66</v>
      </c>
      <c r="H52" s="30">
        <f t="shared" si="2"/>
        <v>0.96</v>
      </c>
      <c r="I52" s="31">
        <f t="shared" si="3"/>
        <v>0.1696113074</v>
      </c>
    </row>
    <row r="53" ht="22.5" customHeight="1">
      <c r="A53" s="24">
        <v>46034.0</v>
      </c>
      <c r="B53" s="27" t="s">
        <v>201</v>
      </c>
      <c r="C53" s="27" t="s">
        <v>204</v>
      </c>
      <c r="D53" s="27" t="s">
        <v>193</v>
      </c>
      <c r="E53" s="29">
        <v>4.52</v>
      </c>
      <c r="F53" s="29">
        <v>5.18</v>
      </c>
      <c r="G53" s="30">
        <f t="shared" si="1"/>
        <v>4.85</v>
      </c>
      <c r="H53" s="30">
        <f t="shared" si="2"/>
        <v>0.66</v>
      </c>
      <c r="I53" s="31">
        <f t="shared" si="3"/>
        <v>0.1360824742</v>
      </c>
    </row>
    <row r="54" ht="22.5" customHeight="1">
      <c r="A54" s="24">
        <v>46034.0</v>
      </c>
      <c r="B54" s="27" t="s">
        <v>203</v>
      </c>
      <c r="C54" s="27" t="s">
        <v>204</v>
      </c>
      <c r="D54" s="27" t="s">
        <v>192</v>
      </c>
      <c r="E54" s="29">
        <v>4.62</v>
      </c>
      <c r="F54" s="29">
        <v>5.28</v>
      </c>
      <c r="G54" s="30">
        <f t="shared" si="1"/>
        <v>4.95</v>
      </c>
      <c r="H54" s="30">
        <f t="shared" si="2"/>
        <v>0.66</v>
      </c>
      <c r="I54" s="31">
        <f t="shared" si="3"/>
        <v>0.1333333333</v>
      </c>
    </row>
    <row r="55" ht="22.5" customHeight="1">
      <c r="A55" s="24">
        <v>46034.0</v>
      </c>
      <c r="B55" s="27" t="s">
        <v>203</v>
      </c>
      <c r="C55" s="27" t="s">
        <v>204</v>
      </c>
      <c r="D55" s="27" t="s">
        <v>193</v>
      </c>
      <c r="E55" s="29">
        <v>3.9</v>
      </c>
      <c r="F55" s="29">
        <v>4.62</v>
      </c>
      <c r="G55" s="30">
        <f t="shared" si="1"/>
        <v>4.26</v>
      </c>
      <c r="H55" s="30">
        <f t="shared" si="2"/>
        <v>0.72</v>
      </c>
      <c r="I55" s="31">
        <f t="shared" si="3"/>
        <v>0.1690140845</v>
      </c>
    </row>
    <row r="56" ht="22.5" customHeight="1">
      <c r="A56" s="24">
        <v>46034.0</v>
      </c>
      <c r="B56" s="27" t="s">
        <v>201</v>
      </c>
      <c r="C56" s="27" t="s">
        <v>205</v>
      </c>
      <c r="D56" s="27" t="s">
        <v>192</v>
      </c>
      <c r="E56" s="29">
        <v>4.8</v>
      </c>
      <c r="F56" s="29">
        <v>5.48</v>
      </c>
      <c r="G56" s="30">
        <f t="shared" si="1"/>
        <v>5.14</v>
      </c>
      <c r="H56" s="30">
        <f t="shared" si="2"/>
        <v>0.68</v>
      </c>
      <c r="I56" s="31">
        <f t="shared" si="3"/>
        <v>0.1322957198</v>
      </c>
    </row>
    <row r="57" ht="22.5" customHeight="1">
      <c r="A57" s="24">
        <v>46034.0</v>
      </c>
      <c r="B57" s="27" t="s">
        <v>201</v>
      </c>
      <c r="C57" s="27" t="s">
        <v>205</v>
      </c>
      <c r="D57" s="27" t="s">
        <v>193</v>
      </c>
      <c r="E57" s="29">
        <v>4.14</v>
      </c>
      <c r="F57" s="29">
        <v>4.8</v>
      </c>
      <c r="G57" s="30">
        <f t="shared" si="1"/>
        <v>4.47</v>
      </c>
      <c r="H57" s="30">
        <f t="shared" si="2"/>
        <v>0.66</v>
      </c>
      <c r="I57" s="31">
        <f t="shared" si="3"/>
        <v>0.1476510067</v>
      </c>
    </row>
    <row r="58" ht="22.5" customHeight="1">
      <c r="A58" s="24">
        <v>46034.0</v>
      </c>
      <c r="B58" s="27" t="s">
        <v>203</v>
      </c>
      <c r="C58" s="27" t="s">
        <v>205</v>
      </c>
      <c r="D58" s="27" t="s">
        <v>192</v>
      </c>
      <c r="E58" s="29">
        <v>4.12</v>
      </c>
      <c r="F58" s="29">
        <v>4.78</v>
      </c>
      <c r="G58" s="30">
        <f t="shared" si="1"/>
        <v>4.45</v>
      </c>
      <c r="H58" s="30">
        <f t="shared" si="2"/>
        <v>0.66</v>
      </c>
      <c r="I58" s="31">
        <f t="shared" si="3"/>
        <v>0.1483146067</v>
      </c>
    </row>
    <row r="59" ht="22.5" customHeight="1">
      <c r="A59" s="24">
        <v>46034.0</v>
      </c>
      <c r="B59" s="27" t="s">
        <v>203</v>
      </c>
      <c r="C59" s="27" t="s">
        <v>205</v>
      </c>
      <c r="D59" s="27" t="s">
        <v>193</v>
      </c>
      <c r="E59" s="29">
        <v>3.72</v>
      </c>
      <c r="F59" s="29">
        <v>4.12</v>
      </c>
      <c r="G59" s="30">
        <f t="shared" si="1"/>
        <v>3.92</v>
      </c>
      <c r="H59" s="30">
        <f t="shared" si="2"/>
        <v>0.4</v>
      </c>
      <c r="I59" s="31">
        <f t="shared" si="3"/>
        <v>0.1020408163</v>
      </c>
    </row>
    <row r="60" ht="22.5" customHeight="1">
      <c r="A60" s="24">
        <v>46034.0</v>
      </c>
      <c r="B60" s="27" t="s">
        <v>201</v>
      </c>
      <c r="C60" s="27" t="s">
        <v>206</v>
      </c>
      <c r="D60" s="27" t="s">
        <v>192</v>
      </c>
      <c r="E60" s="29">
        <v>4.2</v>
      </c>
      <c r="F60" s="29">
        <v>4.84</v>
      </c>
      <c r="G60" s="30">
        <f t="shared" si="1"/>
        <v>4.52</v>
      </c>
      <c r="H60" s="30">
        <f t="shared" si="2"/>
        <v>0.64</v>
      </c>
      <c r="I60" s="31">
        <f t="shared" si="3"/>
        <v>0.1415929204</v>
      </c>
    </row>
    <row r="61" ht="22.5" customHeight="1">
      <c r="A61" s="24">
        <v>46034.0</v>
      </c>
      <c r="B61" s="27" t="s">
        <v>201</v>
      </c>
      <c r="C61" s="27" t="s">
        <v>206</v>
      </c>
      <c r="D61" s="27" t="s">
        <v>193</v>
      </c>
      <c r="E61" s="29">
        <v>3.58</v>
      </c>
      <c r="F61" s="29">
        <v>4.2</v>
      </c>
      <c r="G61" s="30">
        <f t="shared" si="1"/>
        <v>3.89</v>
      </c>
      <c r="H61" s="30">
        <f t="shared" si="2"/>
        <v>0.62</v>
      </c>
      <c r="I61" s="31">
        <f t="shared" si="3"/>
        <v>0.1593830334</v>
      </c>
    </row>
    <row r="62" ht="22.5" customHeight="1">
      <c r="A62" s="24">
        <v>46034.0</v>
      </c>
      <c r="B62" s="27" t="s">
        <v>203</v>
      </c>
      <c r="C62" s="27" t="s">
        <v>206</v>
      </c>
      <c r="D62" s="27" t="s">
        <v>192</v>
      </c>
      <c r="E62" s="29">
        <v>3.76</v>
      </c>
      <c r="F62" s="29">
        <v>4.24</v>
      </c>
      <c r="G62" s="30">
        <f t="shared" si="1"/>
        <v>4</v>
      </c>
      <c r="H62" s="30">
        <f t="shared" si="2"/>
        <v>0.48</v>
      </c>
      <c r="I62" s="31">
        <f t="shared" si="3"/>
        <v>0.12</v>
      </c>
    </row>
    <row r="63" ht="22.5" customHeight="1">
      <c r="A63" s="24">
        <v>46034.0</v>
      </c>
      <c r="B63" s="27" t="s">
        <v>203</v>
      </c>
      <c r="C63" s="27" t="s">
        <v>206</v>
      </c>
      <c r="D63" s="27" t="s">
        <v>193</v>
      </c>
      <c r="E63" s="29">
        <v>3.3</v>
      </c>
      <c r="F63" s="29">
        <v>3.76</v>
      </c>
      <c r="G63" s="30">
        <f t="shared" si="1"/>
        <v>3.53</v>
      </c>
      <c r="H63" s="30">
        <f t="shared" si="2"/>
        <v>0.46</v>
      </c>
      <c r="I63" s="31">
        <f t="shared" si="3"/>
        <v>0.1303116147</v>
      </c>
    </row>
    <row r="64" ht="22.5" customHeight="1">
      <c r="A64" s="24">
        <v>46034.0</v>
      </c>
      <c r="B64" s="27" t="s">
        <v>201</v>
      </c>
      <c r="C64" s="27" t="s">
        <v>207</v>
      </c>
      <c r="D64" s="27" t="s">
        <v>192</v>
      </c>
      <c r="E64" s="29">
        <v>3.74</v>
      </c>
      <c r="F64" s="29">
        <v>4.38</v>
      </c>
      <c r="G64" s="30">
        <f t="shared" si="1"/>
        <v>4.06</v>
      </c>
      <c r="H64" s="30">
        <f t="shared" si="2"/>
        <v>0.64</v>
      </c>
      <c r="I64" s="31">
        <f t="shared" si="3"/>
        <v>0.157635468</v>
      </c>
    </row>
    <row r="65" ht="22.5" customHeight="1">
      <c r="A65" s="24">
        <v>46034.0</v>
      </c>
      <c r="B65" s="27" t="s">
        <v>201</v>
      </c>
      <c r="C65" s="27" t="s">
        <v>207</v>
      </c>
      <c r="D65" s="27" t="s">
        <v>193</v>
      </c>
      <c r="E65" s="29">
        <v>3.26</v>
      </c>
      <c r="F65" s="29">
        <v>3.74</v>
      </c>
      <c r="G65" s="30">
        <f t="shared" si="1"/>
        <v>3.5</v>
      </c>
      <c r="H65" s="30">
        <f t="shared" si="2"/>
        <v>0.48</v>
      </c>
      <c r="I65" s="31">
        <f t="shared" si="3"/>
        <v>0.1371428571</v>
      </c>
    </row>
    <row r="66" ht="22.5" customHeight="1">
      <c r="A66" s="24">
        <v>46034.0</v>
      </c>
      <c r="B66" s="27" t="s">
        <v>203</v>
      </c>
      <c r="C66" s="27" t="s">
        <v>207</v>
      </c>
      <c r="D66" s="27" t="s">
        <v>192</v>
      </c>
      <c r="E66" s="29">
        <v>3.42</v>
      </c>
      <c r="F66" s="29">
        <v>3.98</v>
      </c>
      <c r="G66" s="30">
        <f t="shared" si="1"/>
        <v>3.7</v>
      </c>
      <c r="H66" s="30">
        <f t="shared" si="2"/>
        <v>0.56</v>
      </c>
      <c r="I66" s="31">
        <f t="shared" si="3"/>
        <v>0.1513513514</v>
      </c>
    </row>
    <row r="67" ht="22.5" customHeight="1">
      <c r="A67" s="24">
        <v>46034.0</v>
      </c>
      <c r="B67" s="27" t="s">
        <v>203</v>
      </c>
      <c r="C67" s="27" t="s">
        <v>207</v>
      </c>
      <c r="D67" s="27" t="s">
        <v>193</v>
      </c>
      <c r="E67" s="29">
        <v>3.08</v>
      </c>
      <c r="F67" s="29">
        <v>3.42</v>
      </c>
      <c r="G67" s="30">
        <f t="shared" si="1"/>
        <v>3.25</v>
      </c>
      <c r="H67" s="30">
        <f t="shared" si="2"/>
        <v>0.34</v>
      </c>
      <c r="I67" s="31">
        <f t="shared" si="3"/>
        <v>0.1046153846</v>
      </c>
    </row>
    <row r="68" ht="22.5" customHeight="1">
      <c r="A68" s="24">
        <v>46034.0</v>
      </c>
      <c r="B68" s="27" t="s">
        <v>201</v>
      </c>
      <c r="C68" s="27" t="s">
        <v>208</v>
      </c>
      <c r="D68" s="27" t="s">
        <v>192</v>
      </c>
      <c r="E68" s="29">
        <v>3.28</v>
      </c>
      <c r="F68" s="29">
        <v>3.66</v>
      </c>
      <c r="G68" s="30">
        <f t="shared" si="1"/>
        <v>3.47</v>
      </c>
      <c r="H68" s="30">
        <f t="shared" si="2"/>
        <v>0.38</v>
      </c>
      <c r="I68" s="31">
        <f t="shared" si="3"/>
        <v>0.1095100865</v>
      </c>
    </row>
    <row r="69" ht="22.5" customHeight="1">
      <c r="A69" s="24">
        <v>46034.0</v>
      </c>
      <c r="B69" s="27" t="s">
        <v>201</v>
      </c>
      <c r="C69" s="27" t="s">
        <v>208</v>
      </c>
      <c r="D69" s="27" t="s">
        <v>193</v>
      </c>
      <c r="E69" s="29">
        <v>2.9</v>
      </c>
      <c r="F69" s="29">
        <v>3.28</v>
      </c>
      <c r="G69" s="30">
        <f t="shared" si="1"/>
        <v>3.09</v>
      </c>
      <c r="H69" s="30">
        <f t="shared" si="2"/>
        <v>0.38</v>
      </c>
      <c r="I69" s="31">
        <f t="shared" si="3"/>
        <v>0.1229773463</v>
      </c>
    </row>
    <row r="70" ht="22.5" customHeight="1">
      <c r="A70" s="24">
        <v>46034.0</v>
      </c>
      <c r="B70" s="27" t="s">
        <v>203</v>
      </c>
      <c r="C70" s="27" t="s">
        <v>208</v>
      </c>
      <c r="D70" s="27" t="s">
        <v>192</v>
      </c>
      <c r="E70" s="29">
        <v>3.2</v>
      </c>
      <c r="F70" s="29">
        <v>3.44</v>
      </c>
      <c r="G70" s="30">
        <f t="shared" si="1"/>
        <v>3.32</v>
      </c>
      <c r="H70" s="30">
        <f t="shared" si="2"/>
        <v>0.24</v>
      </c>
      <c r="I70" s="31">
        <f t="shared" si="3"/>
        <v>0.07228915663</v>
      </c>
    </row>
    <row r="71" ht="22.5" customHeight="1">
      <c r="A71" s="24">
        <v>46034.0</v>
      </c>
      <c r="B71" s="27" t="s">
        <v>203</v>
      </c>
      <c r="C71" s="27" t="s">
        <v>208</v>
      </c>
      <c r="D71" s="27" t="s">
        <v>193</v>
      </c>
      <c r="E71" s="29">
        <v>2.84</v>
      </c>
      <c r="F71" s="29">
        <v>3.2</v>
      </c>
      <c r="G71" s="30">
        <f t="shared" si="1"/>
        <v>3.02</v>
      </c>
      <c r="H71" s="30">
        <f t="shared" si="2"/>
        <v>0.36</v>
      </c>
      <c r="I71" s="31">
        <f t="shared" si="3"/>
        <v>0.119205298</v>
      </c>
    </row>
    <row r="72" ht="22.5" customHeight="1">
      <c r="A72" s="24">
        <v>46041.0</v>
      </c>
      <c r="B72" s="27" t="s">
        <v>191</v>
      </c>
      <c r="C72" s="28"/>
      <c r="D72" s="27" t="s">
        <v>192</v>
      </c>
      <c r="E72" s="29">
        <v>2700.0</v>
      </c>
      <c r="F72" s="29">
        <v>3500.0</v>
      </c>
      <c r="G72" s="30">
        <f t="shared" si="1"/>
        <v>3100</v>
      </c>
      <c r="H72" s="30">
        <f t="shared" si="2"/>
        <v>800</v>
      </c>
      <c r="I72" s="31">
        <f t="shared" si="3"/>
        <v>0.2580645161</v>
      </c>
    </row>
    <row r="73" ht="22.5" customHeight="1">
      <c r="A73" s="24">
        <v>46041.0</v>
      </c>
      <c r="B73" s="27" t="s">
        <v>191</v>
      </c>
      <c r="C73" s="28"/>
      <c r="D73" s="27" t="s">
        <v>193</v>
      </c>
      <c r="E73" s="29">
        <v>2600.0</v>
      </c>
      <c r="F73" s="29">
        <v>2700.0</v>
      </c>
      <c r="G73" s="30">
        <f t="shared" si="1"/>
        <v>2650</v>
      </c>
      <c r="H73" s="30">
        <f t="shared" si="2"/>
        <v>100</v>
      </c>
      <c r="I73" s="31">
        <f t="shared" si="3"/>
        <v>0.03773584906</v>
      </c>
    </row>
    <row r="74" ht="22.5" customHeight="1">
      <c r="A74" s="24">
        <v>46041.0</v>
      </c>
      <c r="B74" s="27" t="s">
        <v>194</v>
      </c>
      <c r="C74" s="28"/>
      <c r="D74" s="27" t="s">
        <v>192</v>
      </c>
      <c r="E74" s="29">
        <v>2750.0</v>
      </c>
      <c r="F74" s="29">
        <v>3400.0</v>
      </c>
      <c r="G74" s="30">
        <f t="shared" si="1"/>
        <v>3075</v>
      </c>
      <c r="H74" s="30">
        <f t="shared" si="2"/>
        <v>650</v>
      </c>
      <c r="I74" s="31">
        <f t="shared" si="3"/>
        <v>0.2113821138</v>
      </c>
    </row>
    <row r="75" ht="22.5" customHeight="1">
      <c r="A75" s="24">
        <v>46041.0</v>
      </c>
      <c r="B75" s="27" t="s">
        <v>194</v>
      </c>
      <c r="C75" s="28"/>
      <c r="D75" s="27" t="s">
        <v>193</v>
      </c>
      <c r="E75" s="29">
        <v>2000.0</v>
      </c>
      <c r="F75" s="29">
        <v>2750.0</v>
      </c>
      <c r="G75" s="30">
        <f t="shared" si="1"/>
        <v>2375</v>
      </c>
      <c r="H75" s="30">
        <f t="shared" si="2"/>
        <v>750</v>
      </c>
      <c r="I75" s="31">
        <f t="shared" si="3"/>
        <v>0.3157894737</v>
      </c>
    </row>
    <row r="76" ht="22.5" customHeight="1">
      <c r="A76" s="24">
        <v>46041.0</v>
      </c>
      <c r="B76" s="27" t="s">
        <v>194</v>
      </c>
      <c r="C76" s="28"/>
      <c r="D76" s="27" t="s">
        <v>195</v>
      </c>
      <c r="E76" s="29">
        <v>1800.0</v>
      </c>
      <c r="F76" s="29">
        <v>2450.0</v>
      </c>
      <c r="G76" s="30">
        <f t="shared" si="1"/>
        <v>2125</v>
      </c>
      <c r="H76" s="30">
        <f t="shared" si="2"/>
        <v>650</v>
      </c>
      <c r="I76" s="31">
        <f t="shared" si="3"/>
        <v>0.3058823529</v>
      </c>
    </row>
    <row r="77" ht="22.5" customHeight="1">
      <c r="A77" s="24">
        <v>46041.0</v>
      </c>
      <c r="B77" s="27" t="s">
        <v>162</v>
      </c>
      <c r="C77" s="27" t="s">
        <v>196</v>
      </c>
      <c r="D77" s="28"/>
      <c r="E77" s="29">
        <v>1.52</v>
      </c>
      <c r="F77" s="29">
        <v>1.6</v>
      </c>
      <c r="G77" s="30">
        <f t="shared" si="1"/>
        <v>1.56</v>
      </c>
      <c r="H77" s="30">
        <f t="shared" si="2"/>
        <v>0.08</v>
      </c>
      <c r="I77" s="31">
        <f t="shared" si="3"/>
        <v>0.05128205128</v>
      </c>
    </row>
    <row r="78" ht="22.5" customHeight="1">
      <c r="A78" s="24">
        <v>46041.0</v>
      </c>
      <c r="B78" s="27" t="s">
        <v>162</v>
      </c>
      <c r="C78" s="27" t="s">
        <v>197</v>
      </c>
      <c r="D78" s="28"/>
      <c r="E78" s="29">
        <v>1.46</v>
      </c>
      <c r="F78" s="29">
        <v>1.56</v>
      </c>
      <c r="G78" s="30">
        <f t="shared" si="1"/>
        <v>1.51</v>
      </c>
      <c r="H78" s="30">
        <f t="shared" si="2"/>
        <v>0.1</v>
      </c>
      <c r="I78" s="31">
        <f t="shared" si="3"/>
        <v>0.06622516556</v>
      </c>
    </row>
    <row r="79" ht="22.5" customHeight="1">
      <c r="A79" s="24">
        <v>46041.0</v>
      </c>
      <c r="B79" s="27" t="s">
        <v>162</v>
      </c>
      <c r="C79" s="27" t="s">
        <v>146</v>
      </c>
      <c r="D79" s="28"/>
      <c r="E79" s="29">
        <v>1.16</v>
      </c>
      <c r="F79" s="29">
        <v>1.38</v>
      </c>
      <c r="G79" s="30">
        <f t="shared" si="1"/>
        <v>1.27</v>
      </c>
      <c r="H79" s="30">
        <f t="shared" si="2"/>
        <v>0.22</v>
      </c>
      <c r="I79" s="31">
        <f t="shared" si="3"/>
        <v>0.1732283465</v>
      </c>
    </row>
    <row r="80" ht="22.5" customHeight="1">
      <c r="A80" s="24">
        <v>46041.0</v>
      </c>
      <c r="B80" s="27" t="s">
        <v>159</v>
      </c>
      <c r="C80" s="27" t="s">
        <v>198</v>
      </c>
      <c r="D80" s="28"/>
      <c r="E80" s="29">
        <v>1.84</v>
      </c>
      <c r="F80" s="29">
        <v>1.9</v>
      </c>
      <c r="G80" s="30">
        <f t="shared" si="1"/>
        <v>1.87</v>
      </c>
      <c r="H80" s="30">
        <f t="shared" si="2"/>
        <v>0.06</v>
      </c>
      <c r="I80" s="31">
        <f t="shared" si="3"/>
        <v>0.0320855615</v>
      </c>
    </row>
    <row r="81" ht="22.5" customHeight="1">
      <c r="A81" s="24">
        <v>46041.0</v>
      </c>
      <c r="B81" s="27" t="s">
        <v>159</v>
      </c>
      <c r="C81" s="27" t="s">
        <v>199</v>
      </c>
      <c r="D81" s="28"/>
      <c r="E81" s="29">
        <v>1.72</v>
      </c>
      <c r="F81" s="29">
        <v>1.84</v>
      </c>
      <c r="G81" s="30">
        <f t="shared" si="1"/>
        <v>1.78</v>
      </c>
      <c r="H81" s="30">
        <f t="shared" si="2"/>
        <v>0.12</v>
      </c>
      <c r="I81" s="31">
        <f t="shared" si="3"/>
        <v>0.06741573034</v>
      </c>
    </row>
    <row r="82" ht="22.5" customHeight="1">
      <c r="A82" s="24">
        <v>46041.0</v>
      </c>
      <c r="B82" s="27" t="s">
        <v>159</v>
      </c>
      <c r="C82" s="27" t="s">
        <v>200</v>
      </c>
      <c r="D82" s="28"/>
      <c r="E82" s="29">
        <v>1.66</v>
      </c>
      <c r="F82" s="29">
        <v>1.72</v>
      </c>
      <c r="G82" s="30">
        <f t="shared" si="1"/>
        <v>1.69</v>
      </c>
      <c r="H82" s="30">
        <f t="shared" si="2"/>
        <v>0.06</v>
      </c>
      <c r="I82" s="31">
        <f t="shared" si="3"/>
        <v>0.03550295858</v>
      </c>
    </row>
    <row r="83" ht="22.5" customHeight="1">
      <c r="A83" s="24">
        <v>46041.0</v>
      </c>
      <c r="B83" s="27" t="s">
        <v>201</v>
      </c>
      <c r="C83" s="27" t="s">
        <v>202</v>
      </c>
      <c r="D83" s="27" t="s">
        <v>192</v>
      </c>
      <c r="E83" s="29">
        <v>5.7</v>
      </c>
      <c r="F83" s="29">
        <v>6.5</v>
      </c>
      <c r="G83" s="30">
        <f t="shared" si="1"/>
        <v>6.1</v>
      </c>
      <c r="H83" s="30">
        <f t="shared" si="2"/>
        <v>0.8</v>
      </c>
      <c r="I83" s="31">
        <f t="shared" si="3"/>
        <v>0.131147541</v>
      </c>
    </row>
    <row r="84" ht="22.5" customHeight="1">
      <c r="A84" s="24">
        <v>46041.0</v>
      </c>
      <c r="B84" s="27" t="s">
        <v>201</v>
      </c>
      <c r="C84" s="27" t="s">
        <v>202</v>
      </c>
      <c r="D84" s="27" t="s">
        <v>193</v>
      </c>
      <c r="E84" s="29">
        <v>4.4</v>
      </c>
      <c r="F84" s="29">
        <v>5.7</v>
      </c>
      <c r="G84" s="30">
        <f t="shared" si="1"/>
        <v>5.05</v>
      </c>
      <c r="H84" s="30">
        <f t="shared" si="2"/>
        <v>1.3</v>
      </c>
      <c r="I84" s="31">
        <f t="shared" si="3"/>
        <v>0.2574257426</v>
      </c>
    </row>
    <row r="85" ht="22.5" customHeight="1">
      <c r="A85" s="24">
        <v>46041.0</v>
      </c>
      <c r="B85" s="27" t="s">
        <v>203</v>
      </c>
      <c r="C85" s="27" t="s">
        <v>202</v>
      </c>
      <c r="D85" s="27" t="s">
        <v>192</v>
      </c>
      <c r="E85" s="29">
        <v>5.1</v>
      </c>
      <c r="F85" s="29">
        <v>6.1</v>
      </c>
      <c r="G85" s="30">
        <f t="shared" si="1"/>
        <v>5.6</v>
      </c>
      <c r="H85" s="30">
        <f t="shared" si="2"/>
        <v>1</v>
      </c>
      <c r="I85" s="31">
        <f t="shared" si="3"/>
        <v>0.1785714286</v>
      </c>
    </row>
    <row r="86" ht="22.5" customHeight="1">
      <c r="A86" s="24">
        <v>46041.0</v>
      </c>
      <c r="B86" s="27" t="s">
        <v>203</v>
      </c>
      <c r="C86" s="27" t="s">
        <v>202</v>
      </c>
      <c r="D86" s="27" t="s">
        <v>193</v>
      </c>
      <c r="E86" s="29">
        <v>4.2</v>
      </c>
      <c r="F86" s="29">
        <v>5.1</v>
      </c>
      <c r="G86" s="30">
        <f t="shared" si="1"/>
        <v>4.65</v>
      </c>
      <c r="H86" s="30">
        <f t="shared" si="2"/>
        <v>0.9</v>
      </c>
      <c r="I86" s="31">
        <f t="shared" si="3"/>
        <v>0.1935483871</v>
      </c>
    </row>
    <row r="87" ht="22.5" customHeight="1">
      <c r="A87" s="24">
        <v>46041.0</v>
      </c>
      <c r="B87" s="27" t="s">
        <v>201</v>
      </c>
      <c r="C87" s="27" t="s">
        <v>204</v>
      </c>
      <c r="D87" s="27" t="s">
        <v>192</v>
      </c>
      <c r="E87" s="29">
        <v>5.0</v>
      </c>
      <c r="F87" s="29">
        <v>5.9</v>
      </c>
      <c r="G87" s="30">
        <f t="shared" si="1"/>
        <v>5.45</v>
      </c>
      <c r="H87" s="30">
        <f t="shared" si="2"/>
        <v>0.9</v>
      </c>
      <c r="I87" s="31">
        <f t="shared" si="3"/>
        <v>0.1651376147</v>
      </c>
    </row>
    <row r="88" ht="22.5" customHeight="1">
      <c r="A88" s="24">
        <v>46041.0</v>
      </c>
      <c r="B88" s="27" t="s">
        <v>201</v>
      </c>
      <c r="C88" s="27" t="s">
        <v>204</v>
      </c>
      <c r="D88" s="27" t="s">
        <v>193</v>
      </c>
      <c r="E88" s="29">
        <v>4.4</v>
      </c>
      <c r="F88" s="29">
        <v>5.0</v>
      </c>
      <c r="G88" s="30">
        <f t="shared" si="1"/>
        <v>4.7</v>
      </c>
      <c r="H88" s="30">
        <f t="shared" si="2"/>
        <v>0.6</v>
      </c>
      <c r="I88" s="31">
        <f t="shared" si="3"/>
        <v>0.1276595745</v>
      </c>
    </row>
    <row r="89" ht="22.5" customHeight="1">
      <c r="A89" s="24">
        <v>46041.0</v>
      </c>
      <c r="B89" s="27" t="s">
        <v>203</v>
      </c>
      <c r="C89" s="27" t="s">
        <v>204</v>
      </c>
      <c r="D89" s="27" t="s">
        <v>192</v>
      </c>
      <c r="E89" s="29">
        <v>4.6</v>
      </c>
      <c r="F89" s="29">
        <v>5.2</v>
      </c>
      <c r="G89" s="30">
        <f t="shared" si="1"/>
        <v>4.9</v>
      </c>
      <c r="H89" s="30">
        <f t="shared" si="2"/>
        <v>0.6</v>
      </c>
      <c r="I89" s="31">
        <f t="shared" si="3"/>
        <v>0.1224489796</v>
      </c>
    </row>
    <row r="90" ht="22.5" customHeight="1">
      <c r="A90" s="24">
        <v>46041.0</v>
      </c>
      <c r="B90" s="27" t="s">
        <v>203</v>
      </c>
      <c r="C90" s="27" t="s">
        <v>204</v>
      </c>
      <c r="D90" s="27" t="s">
        <v>193</v>
      </c>
      <c r="E90" s="29">
        <v>3.9</v>
      </c>
      <c r="F90" s="29">
        <v>4.6</v>
      </c>
      <c r="G90" s="30">
        <f t="shared" si="1"/>
        <v>4.25</v>
      </c>
      <c r="H90" s="30">
        <f t="shared" si="2"/>
        <v>0.7</v>
      </c>
      <c r="I90" s="31">
        <f t="shared" si="3"/>
        <v>0.1647058824</v>
      </c>
    </row>
    <row r="91" ht="22.5" customHeight="1">
      <c r="A91" s="24">
        <v>46041.0</v>
      </c>
      <c r="B91" s="27" t="s">
        <v>201</v>
      </c>
      <c r="C91" s="27" t="s">
        <v>205</v>
      </c>
      <c r="D91" s="27" t="s">
        <v>192</v>
      </c>
      <c r="E91" s="29">
        <v>4.7</v>
      </c>
      <c r="F91" s="29">
        <v>5.4</v>
      </c>
      <c r="G91" s="30">
        <f t="shared" si="1"/>
        <v>5.05</v>
      </c>
      <c r="H91" s="30">
        <f t="shared" si="2"/>
        <v>0.7</v>
      </c>
      <c r="I91" s="31">
        <f t="shared" si="3"/>
        <v>0.1386138614</v>
      </c>
    </row>
    <row r="92" ht="22.5" customHeight="1">
      <c r="A92" s="24">
        <v>46041.0</v>
      </c>
      <c r="B92" s="27" t="s">
        <v>201</v>
      </c>
      <c r="C92" s="27" t="s">
        <v>205</v>
      </c>
      <c r="D92" s="27" t="s">
        <v>193</v>
      </c>
      <c r="E92" s="29">
        <v>4.1</v>
      </c>
      <c r="F92" s="29">
        <v>4.7</v>
      </c>
      <c r="G92" s="30">
        <f t="shared" si="1"/>
        <v>4.4</v>
      </c>
      <c r="H92" s="30">
        <f t="shared" si="2"/>
        <v>0.6</v>
      </c>
      <c r="I92" s="31">
        <f t="shared" si="3"/>
        <v>0.1363636364</v>
      </c>
    </row>
    <row r="93" ht="22.5" customHeight="1">
      <c r="A93" s="24">
        <v>46041.0</v>
      </c>
      <c r="B93" s="27" t="s">
        <v>203</v>
      </c>
      <c r="C93" s="27" t="s">
        <v>205</v>
      </c>
      <c r="D93" s="27" t="s">
        <v>192</v>
      </c>
      <c r="E93" s="29">
        <v>4.0</v>
      </c>
      <c r="F93" s="29">
        <v>4.6</v>
      </c>
      <c r="G93" s="30">
        <f t="shared" si="1"/>
        <v>4.3</v>
      </c>
      <c r="H93" s="30">
        <f t="shared" si="2"/>
        <v>0.6</v>
      </c>
      <c r="I93" s="31">
        <f t="shared" si="3"/>
        <v>0.1395348837</v>
      </c>
    </row>
    <row r="94" ht="22.5" customHeight="1">
      <c r="A94" s="24">
        <v>46041.0</v>
      </c>
      <c r="B94" s="27" t="s">
        <v>203</v>
      </c>
      <c r="C94" s="27" t="s">
        <v>205</v>
      </c>
      <c r="D94" s="27" t="s">
        <v>193</v>
      </c>
      <c r="E94" s="29">
        <v>3.7</v>
      </c>
      <c r="F94" s="29">
        <v>4.0</v>
      </c>
      <c r="G94" s="30">
        <f t="shared" si="1"/>
        <v>3.85</v>
      </c>
      <c r="H94" s="30">
        <f t="shared" si="2"/>
        <v>0.3</v>
      </c>
      <c r="I94" s="31">
        <f t="shared" si="3"/>
        <v>0.07792207792</v>
      </c>
    </row>
    <row r="95" ht="22.5" customHeight="1">
      <c r="A95" s="24">
        <v>46041.0</v>
      </c>
      <c r="B95" s="27" t="s">
        <v>201</v>
      </c>
      <c r="C95" s="27" t="s">
        <v>206</v>
      </c>
      <c r="D95" s="27" t="s">
        <v>192</v>
      </c>
      <c r="E95" s="29">
        <v>4.0</v>
      </c>
      <c r="F95" s="29">
        <v>4.7</v>
      </c>
      <c r="G95" s="30">
        <f t="shared" si="1"/>
        <v>4.35</v>
      </c>
      <c r="H95" s="30">
        <f t="shared" si="2"/>
        <v>0.7</v>
      </c>
      <c r="I95" s="31">
        <f t="shared" si="3"/>
        <v>0.1609195402</v>
      </c>
    </row>
    <row r="96" ht="22.5" customHeight="1">
      <c r="A96" s="24">
        <v>46041.0</v>
      </c>
      <c r="B96" s="27" t="s">
        <v>201</v>
      </c>
      <c r="C96" s="27" t="s">
        <v>206</v>
      </c>
      <c r="D96" s="27" t="s">
        <v>193</v>
      </c>
      <c r="E96" s="29">
        <v>3.6</v>
      </c>
      <c r="F96" s="29">
        <v>4.0</v>
      </c>
      <c r="G96" s="30">
        <f t="shared" si="1"/>
        <v>3.8</v>
      </c>
      <c r="H96" s="30">
        <f t="shared" si="2"/>
        <v>0.4</v>
      </c>
      <c r="I96" s="31">
        <f t="shared" si="3"/>
        <v>0.1052631579</v>
      </c>
    </row>
    <row r="97" ht="22.5" customHeight="1">
      <c r="A97" s="24">
        <v>46041.0</v>
      </c>
      <c r="B97" s="27" t="s">
        <v>203</v>
      </c>
      <c r="C97" s="27" t="s">
        <v>206</v>
      </c>
      <c r="D97" s="27" t="s">
        <v>192</v>
      </c>
      <c r="E97" s="29">
        <v>3.7</v>
      </c>
      <c r="F97" s="29">
        <v>4.2</v>
      </c>
      <c r="G97" s="30">
        <f t="shared" si="1"/>
        <v>3.95</v>
      </c>
      <c r="H97" s="30">
        <f t="shared" si="2"/>
        <v>0.5</v>
      </c>
      <c r="I97" s="31">
        <f t="shared" si="3"/>
        <v>0.1265822785</v>
      </c>
    </row>
    <row r="98" ht="22.5" customHeight="1">
      <c r="A98" s="24">
        <v>46041.0</v>
      </c>
      <c r="B98" s="27" t="s">
        <v>203</v>
      </c>
      <c r="C98" s="27" t="s">
        <v>206</v>
      </c>
      <c r="D98" s="27" t="s">
        <v>193</v>
      </c>
      <c r="E98" s="29">
        <v>3.2</v>
      </c>
      <c r="F98" s="29">
        <v>3.7</v>
      </c>
      <c r="G98" s="30">
        <f t="shared" si="1"/>
        <v>3.45</v>
      </c>
      <c r="H98" s="30">
        <f t="shared" si="2"/>
        <v>0.5</v>
      </c>
      <c r="I98" s="31">
        <f t="shared" si="3"/>
        <v>0.1449275362</v>
      </c>
    </row>
    <row r="99" ht="22.5" customHeight="1">
      <c r="A99" s="24">
        <v>46041.0</v>
      </c>
      <c r="B99" s="27" t="s">
        <v>201</v>
      </c>
      <c r="C99" s="27" t="s">
        <v>207</v>
      </c>
      <c r="D99" s="27" t="s">
        <v>192</v>
      </c>
      <c r="E99" s="29">
        <v>3.6</v>
      </c>
      <c r="F99" s="29">
        <v>4.1</v>
      </c>
      <c r="G99" s="30">
        <f t="shared" si="1"/>
        <v>3.85</v>
      </c>
      <c r="H99" s="30">
        <f t="shared" si="2"/>
        <v>0.5</v>
      </c>
      <c r="I99" s="31">
        <f t="shared" si="3"/>
        <v>0.1298701299</v>
      </c>
    </row>
    <row r="100" ht="22.5" customHeight="1">
      <c r="A100" s="24">
        <v>46041.0</v>
      </c>
      <c r="B100" s="27" t="s">
        <v>201</v>
      </c>
      <c r="C100" s="27" t="s">
        <v>207</v>
      </c>
      <c r="D100" s="27" t="s">
        <v>193</v>
      </c>
      <c r="E100" s="29">
        <v>3.2</v>
      </c>
      <c r="F100" s="29">
        <v>3.6</v>
      </c>
      <c r="G100" s="30">
        <f t="shared" si="1"/>
        <v>3.4</v>
      </c>
      <c r="H100" s="30">
        <f t="shared" si="2"/>
        <v>0.4</v>
      </c>
      <c r="I100" s="31">
        <f t="shared" si="3"/>
        <v>0.1176470588</v>
      </c>
    </row>
    <row r="101" ht="22.5" customHeight="1">
      <c r="A101" s="24">
        <v>46041.0</v>
      </c>
      <c r="B101" s="27" t="s">
        <v>203</v>
      </c>
      <c r="C101" s="27" t="s">
        <v>207</v>
      </c>
      <c r="D101" s="27" t="s">
        <v>192</v>
      </c>
      <c r="E101" s="29">
        <v>3.3</v>
      </c>
      <c r="F101" s="29">
        <v>3.8</v>
      </c>
      <c r="G101" s="30">
        <f t="shared" si="1"/>
        <v>3.55</v>
      </c>
      <c r="H101" s="30">
        <f t="shared" si="2"/>
        <v>0.5</v>
      </c>
      <c r="I101" s="31">
        <f t="shared" si="3"/>
        <v>0.1408450704</v>
      </c>
    </row>
    <row r="102" ht="22.5" customHeight="1">
      <c r="A102" s="24">
        <v>46041.0</v>
      </c>
      <c r="B102" s="27" t="s">
        <v>203</v>
      </c>
      <c r="C102" s="27" t="s">
        <v>207</v>
      </c>
      <c r="D102" s="27" t="s">
        <v>193</v>
      </c>
      <c r="E102" s="29">
        <v>3.0</v>
      </c>
      <c r="F102" s="29">
        <v>3.3</v>
      </c>
      <c r="G102" s="30">
        <f t="shared" si="1"/>
        <v>3.15</v>
      </c>
      <c r="H102" s="30">
        <f t="shared" si="2"/>
        <v>0.3</v>
      </c>
      <c r="I102" s="31">
        <f t="shared" si="3"/>
        <v>0.09523809524</v>
      </c>
    </row>
    <row r="103" ht="22.5" customHeight="1">
      <c r="A103" s="24">
        <v>46041.0</v>
      </c>
      <c r="B103" s="27" t="s">
        <v>201</v>
      </c>
      <c r="C103" s="27" t="s">
        <v>208</v>
      </c>
      <c r="D103" s="27" t="s">
        <v>192</v>
      </c>
      <c r="E103" s="29">
        <v>3.2</v>
      </c>
      <c r="F103" s="29">
        <v>3.6</v>
      </c>
      <c r="G103" s="30">
        <f t="shared" si="1"/>
        <v>3.4</v>
      </c>
      <c r="H103" s="30">
        <f t="shared" si="2"/>
        <v>0.4</v>
      </c>
      <c r="I103" s="31">
        <f t="shared" si="3"/>
        <v>0.1176470588</v>
      </c>
    </row>
    <row r="104" ht="22.5" customHeight="1">
      <c r="A104" s="24">
        <v>46041.0</v>
      </c>
      <c r="B104" s="27" t="s">
        <v>201</v>
      </c>
      <c r="C104" s="27" t="s">
        <v>208</v>
      </c>
      <c r="D104" s="27" t="s">
        <v>193</v>
      </c>
      <c r="E104" s="29">
        <v>2.9</v>
      </c>
      <c r="F104" s="29">
        <v>3.2</v>
      </c>
      <c r="G104" s="30">
        <f t="shared" si="1"/>
        <v>3.05</v>
      </c>
      <c r="H104" s="30">
        <f t="shared" si="2"/>
        <v>0.3</v>
      </c>
      <c r="I104" s="31">
        <f t="shared" si="3"/>
        <v>0.09836065574</v>
      </c>
    </row>
    <row r="105" ht="22.5" customHeight="1">
      <c r="A105" s="24">
        <v>46041.0</v>
      </c>
      <c r="B105" s="27" t="s">
        <v>203</v>
      </c>
      <c r="C105" s="27" t="s">
        <v>208</v>
      </c>
      <c r="D105" s="27" t="s">
        <v>192</v>
      </c>
      <c r="E105" s="29">
        <v>3.1</v>
      </c>
      <c r="F105" s="29">
        <v>3.4</v>
      </c>
      <c r="G105" s="30">
        <f t="shared" si="1"/>
        <v>3.25</v>
      </c>
      <c r="H105" s="30">
        <f t="shared" si="2"/>
        <v>0.3</v>
      </c>
      <c r="I105" s="31">
        <f t="shared" si="3"/>
        <v>0.09230769231</v>
      </c>
    </row>
    <row r="106" ht="22.5" customHeight="1">
      <c r="A106" s="24">
        <v>46041.0</v>
      </c>
      <c r="B106" s="27" t="s">
        <v>203</v>
      </c>
      <c r="C106" s="27" t="s">
        <v>208</v>
      </c>
      <c r="D106" s="27" t="s">
        <v>193</v>
      </c>
      <c r="E106" s="29">
        <v>2.8</v>
      </c>
      <c r="F106" s="29">
        <v>3.1</v>
      </c>
      <c r="G106" s="30">
        <f t="shared" si="1"/>
        <v>2.95</v>
      </c>
      <c r="H106" s="30">
        <f t="shared" si="2"/>
        <v>0.3</v>
      </c>
      <c r="I106" s="31">
        <f t="shared" si="3"/>
        <v>0.1016949153</v>
      </c>
    </row>
    <row r="107" ht="22.5" customHeight="1">
      <c r="A107" s="32">
        <v>46048.0</v>
      </c>
      <c r="B107" s="33" t="s">
        <v>191</v>
      </c>
      <c r="C107" s="33"/>
      <c r="D107" s="33" t="s">
        <v>192</v>
      </c>
      <c r="E107" s="30">
        <v>2000.0</v>
      </c>
      <c r="F107" s="30">
        <v>2800.0</v>
      </c>
      <c r="G107" s="30">
        <f t="shared" si="1"/>
        <v>2400</v>
      </c>
      <c r="H107" s="30">
        <f t="shared" si="2"/>
        <v>800</v>
      </c>
      <c r="I107" s="31">
        <f t="shared" si="3"/>
        <v>0.3333333333</v>
      </c>
    </row>
    <row r="108" ht="22.5" customHeight="1">
      <c r="A108" s="32">
        <v>46048.0</v>
      </c>
      <c r="B108" s="33" t="s">
        <v>191</v>
      </c>
      <c r="C108" s="33"/>
      <c r="D108" s="33" t="s">
        <v>193</v>
      </c>
      <c r="E108" s="30">
        <v>1800.0</v>
      </c>
      <c r="F108" s="30">
        <v>2000.0</v>
      </c>
      <c r="G108" s="30">
        <f t="shared" si="1"/>
        <v>1900</v>
      </c>
      <c r="H108" s="30">
        <f t="shared" si="2"/>
        <v>200</v>
      </c>
      <c r="I108" s="31">
        <f t="shared" si="3"/>
        <v>0.1052631579</v>
      </c>
    </row>
    <row r="109" ht="22.5" customHeight="1">
      <c r="A109" s="32">
        <v>46048.0</v>
      </c>
      <c r="B109" s="33" t="s">
        <v>194</v>
      </c>
      <c r="C109" s="33"/>
      <c r="D109" s="33" t="s">
        <v>192</v>
      </c>
      <c r="E109" s="30">
        <v>2400.0</v>
      </c>
      <c r="F109" s="30">
        <v>3000.0</v>
      </c>
      <c r="G109" s="30">
        <f t="shared" si="1"/>
        <v>2700</v>
      </c>
      <c r="H109" s="30">
        <f t="shared" si="2"/>
        <v>600</v>
      </c>
      <c r="I109" s="31">
        <f t="shared" si="3"/>
        <v>0.2222222222</v>
      </c>
    </row>
    <row r="110" ht="22.5" customHeight="1">
      <c r="A110" s="32">
        <v>46048.0</v>
      </c>
      <c r="B110" s="33" t="s">
        <v>194</v>
      </c>
      <c r="C110" s="33"/>
      <c r="D110" s="33" t="s">
        <v>193</v>
      </c>
      <c r="E110" s="30">
        <v>1800.0</v>
      </c>
      <c r="F110" s="30">
        <v>2400.0</v>
      </c>
      <c r="G110" s="30">
        <f t="shared" si="1"/>
        <v>2100</v>
      </c>
      <c r="H110" s="30">
        <f t="shared" si="2"/>
        <v>600</v>
      </c>
      <c r="I110" s="31">
        <f t="shared" si="3"/>
        <v>0.2857142857</v>
      </c>
    </row>
    <row r="111" ht="22.5" customHeight="1">
      <c r="A111" s="32">
        <v>46048.0</v>
      </c>
      <c r="B111" s="33" t="s">
        <v>194</v>
      </c>
      <c r="C111" s="33"/>
      <c r="D111" s="33" t="s">
        <v>195</v>
      </c>
      <c r="E111" s="30">
        <v>1500.0</v>
      </c>
      <c r="F111" s="30">
        <v>2000.0</v>
      </c>
      <c r="G111" s="30">
        <f t="shared" si="1"/>
        <v>1750</v>
      </c>
      <c r="H111" s="30">
        <f t="shared" si="2"/>
        <v>500</v>
      </c>
      <c r="I111" s="31">
        <f t="shared" si="3"/>
        <v>0.2857142857</v>
      </c>
    </row>
    <row r="112" ht="22.5" customHeight="1">
      <c r="A112" s="32">
        <v>46048.0</v>
      </c>
      <c r="B112" s="33" t="s">
        <v>162</v>
      </c>
      <c r="C112" s="33" t="s">
        <v>196</v>
      </c>
      <c r="D112" s="33"/>
      <c r="E112" s="30">
        <v>1.48</v>
      </c>
      <c r="F112" s="30">
        <v>1.56</v>
      </c>
      <c r="G112" s="30">
        <f t="shared" si="1"/>
        <v>1.52</v>
      </c>
      <c r="H112" s="30">
        <f t="shared" si="2"/>
        <v>0.08</v>
      </c>
      <c r="I112" s="31">
        <f t="shared" si="3"/>
        <v>0.05263157895</v>
      </c>
    </row>
    <row r="113" ht="22.5" customHeight="1">
      <c r="A113" s="32">
        <v>46048.0</v>
      </c>
      <c r="B113" s="33" t="s">
        <v>162</v>
      </c>
      <c r="C113" s="33" t="s">
        <v>197</v>
      </c>
      <c r="D113" s="33"/>
      <c r="E113" s="30">
        <v>1.4</v>
      </c>
      <c r="F113" s="30">
        <v>1.5</v>
      </c>
      <c r="G113" s="30">
        <f t="shared" si="1"/>
        <v>1.45</v>
      </c>
      <c r="H113" s="30">
        <f t="shared" si="2"/>
        <v>0.1</v>
      </c>
      <c r="I113" s="31">
        <f t="shared" si="3"/>
        <v>0.06896551724</v>
      </c>
    </row>
    <row r="114" ht="22.5" customHeight="1">
      <c r="A114" s="32">
        <v>46048.0</v>
      </c>
      <c r="B114" s="33" t="s">
        <v>162</v>
      </c>
      <c r="C114" s="33" t="s">
        <v>146</v>
      </c>
      <c r="D114" s="33"/>
      <c r="E114" s="30">
        <v>1.12</v>
      </c>
      <c r="F114" s="30">
        <v>1.32</v>
      </c>
      <c r="G114" s="30">
        <f t="shared" si="1"/>
        <v>1.22</v>
      </c>
      <c r="H114" s="30">
        <f t="shared" si="2"/>
        <v>0.2</v>
      </c>
      <c r="I114" s="31">
        <f t="shared" si="3"/>
        <v>0.1639344262</v>
      </c>
    </row>
    <row r="115" ht="22.5" customHeight="1">
      <c r="A115" s="32">
        <v>46048.0</v>
      </c>
      <c r="B115" s="33" t="s">
        <v>159</v>
      </c>
      <c r="C115" s="33" t="s">
        <v>198</v>
      </c>
      <c r="D115" s="33"/>
      <c r="E115" s="30">
        <v>1.82</v>
      </c>
      <c r="F115" s="30">
        <v>1.88</v>
      </c>
      <c r="G115" s="30">
        <f t="shared" si="1"/>
        <v>1.85</v>
      </c>
      <c r="H115" s="30">
        <f t="shared" si="2"/>
        <v>0.06</v>
      </c>
      <c r="I115" s="31">
        <f t="shared" si="3"/>
        <v>0.03243243243</v>
      </c>
    </row>
    <row r="116" ht="22.5" customHeight="1">
      <c r="A116" s="32">
        <v>46048.0</v>
      </c>
      <c r="B116" s="33" t="s">
        <v>159</v>
      </c>
      <c r="C116" s="33" t="s">
        <v>199</v>
      </c>
      <c r="D116" s="33"/>
      <c r="E116" s="30">
        <v>1.7</v>
      </c>
      <c r="F116" s="30">
        <v>1.82</v>
      </c>
      <c r="G116" s="30">
        <f t="shared" si="1"/>
        <v>1.76</v>
      </c>
      <c r="H116" s="30">
        <f t="shared" si="2"/>
        <v>0.12</v>
      </c>
      <c r="I116" s="31">
        <f t="shared" si="3"/>
        <v>0.06818181818</v>
      </c>
    </row>
    <row r="117" ht="22.5" customHeight="1">
      <c r="A117" s="32">
        <v>46048.0</v>
      </c>
      <c r="B117" s="33" t="s">
        <v>159</v>
      </c>
      <c r="C117" s="33" t="s">
        <v>200</v>
      </c>
      <c r="D117" s="33"/>
      <c r="E117" s="30">
        <v>1.62</v>
      </c>
      <c r="F117" s="30">
        <v>1.7</v>
      </c>
      <c r="G117" s="30">
        <f t="shared" si="1"/>
        <v>1.66</v>
      </c>
      <c r="H117" s="30">
        <f t="shared" si="2"/>
        <v>0.08</v>
      </c>
      <c r="I117" s="31">
        <f t="shared" si="3"/>
        <v>0.04819277108</v>
      </c>
    </row>
    <row r="118" ht="22.5" customHeight="1">
      <c r="A118" s="32">
        <v>46048.0</v>
      </c>
      <c r="B118" s="33" t="s">
        <v>201</v>
      </c>
      <c r="C118" s="33" t="s">
        <v>202</v>
      </c>
      <c r="D118" s="33" t="s">
        <v>192</v>
      </c>
      <c r="E118" s="30">
        <v>5.4</v>
      </c>
      <c r="F118" s="30">
        <v>6.2</v>
      </c>
      <c r="G118" s="30">
        <f t="shared" si="1"/>
        <v>5.8</v>
      </c>
      <c r="H118" s="30">
        <f t="shared" si="2"/>
        <v>0.8</v>
      </c>
      <c r="I118" s="31">
        <f t="shared" si="3"/>
        <v>0.1379310345</v>
      </c>
    </row>
    <row r="119" ht="22.5" customHeight="1">
      <c r="A119" s="32">
        <v>46048.0</v>
      </c>
      <c r="B119" s="33" t="s">
        <v>201</v>
      </c>
      <c r="C119" s="33" t="s">
        <v>202</v>
      </c>
      <c r="D119" s="33" t="s">
        <v>193</v>
      </c>
      <c r="E119" s="30">
        <v>4.3</v>
      </c>
      <c r="F119" s="30">
        <v>5.4</v>
      </c>
      <c r="G119" s="30">
        <f t="shared" si="1"/>
        <v>4.85</v>
      </c>
      <c r="H119" s="30">
        <f t="shared" si="2"/>
        <v>1.1</v>
      </c>
      <c r="I119" s="31">
        <f t="shared" si="3"/>
        <v>0.2268041237</v>
      </c>
    </row>
    <row r="120" ht="22.5" customHeight="1">
      <c r="A120" s="32">
        <v>46048.0</v>
      </c>
      <c r="B120" s="33" t="s">
        <v>203</v>
      </c>
      <c r="C120" s="33" t="s">
        <v>202</v>
      </c>
      <c r="D120" s="33" t="s">
        <v>192</v>
      </c>
      <c r="E120" s="30">
        <v>5.0</v>
      </c>
      <c r="F120" s="30">
        <v>5.9</v>
      </c>
      <c r="G120" s="30">
        <f t="shared" si="1"/>
        <v>5.45</v>
      </c>
      <c r="H120" s="30">
        <f t="shared" si="2"/>
        <v>0.9</v>
      </c>
      <c r="I120" s="31">
        <f t="shared" si="3"/>
        <v>0.1651376147</v>
      </c>
    </row>
    <row r="121" ht="22.5" customHeight="1">
      <c r="A121" s="32">
        <v>46048.0</v>
      </c>
      <c r="B121" s="33" t="s">
        <v>203</v>
      </c>
      <c r="C121" s="33" t="s">
        <v>202</v>
      </c>
      <c r="D121" s="33" t="s">
        <v>193</v>
      </c>
      <c r="E121" s="30">
        <v>4.0</v>
      </c>
      <c r="F121" s="30">
        <v>5.0</v>
      </c>
      <c r="G121" s="30">
        <f t="shared" si="1"/>
        <v>4.5</v>
      </c>
      <c r="H121" s="30">
        <f t="shared" si="2"/>
        <v>1</v>
      </c>
      <c r="I121" s="31">
        <f t="shared" si="3"/>
        <v>0.2222222222</v>
      </c>
    </row>
    <row r="122" ht="22.5" customHeight="1">
      <c r="A122" s="32">
        <v>46048.0</v>
      </c>
      <c r="B122" s="33" t="s">
        <v>201</v>
      </c>
      <c r="C122" s="33" t="s">
        <v>204</v>
      </c>
      <c r="D122" s="33" t="s">
        <v>192</v>
      </c>
      <c r="E122" s="30">
        <v>4.8</v>
      </c>
      <c r="F122" s="30">
        <v>5.6</v>
      </c>
      <c r="G122" s="30">
        <f t="shared" si="1"/>
        <v>5.2</v>
      </c>
      <c r="H122" s="30">
        <f t="shared" si="2"/>
        <v>0.8</v>
      </c>
      <c r="I122" s="31">
        <f t="shared" si="3"/>
        <v>0.1538461538</v>
      </c>
    </row>
    <row r="123" ht="22.5" customHeight="1">
      <c r="A123" s="32">
        <v>46048.0</v>
      </c>
      <c r="B123" s="33" t="s">
        <v>201</v>
      </c>
      <c r="C123" s="33" t="s">
        <v>204</v>
      </c>
      <c r="D123" s="33" t="s">
        <v>193</v>
      </c>
      <c r="E123" s="30">
        <v>4.2</v>
      </c>
      <c r="F123" s="30">
        <v>4.8</v>
      </c>
      <c r="G123" s="30">
        <f t="shared" si="1"/>
        <v>4.5</v>
      </c>
      <c r="H123" s="30">
        <f t="shared" si="2"/>
        <v>0.6</v>
      </c>
      <c r="I123" s="31">
        <f t="shared" si="3"/>
        <v>0.1333333333</v>
      </c>
    </row>
    <row r="124" ht="22.5" customHeight="1">
      <c r="A124" s="32">
        <v>46048.0</v>
      </c>
      <c r="B124" s="33" t="s">
        <v>203</v>
      </c>
      <c r="C124" s="33" t="s">
        <v>204</v>
      </c>
      <c r="D124" s="33" t="s">
        <v>192</v>
      </c>
      <c r="E124" s="30">
        <v>4.4</v>
      </c>
      <c r="F124" s="30">
        <v>5.0</v>
      </c>
      <c r="G124" s="30">
        <f t="shared" si="1"/>
        <v>4.7</v>
      </c>
      <c r="H124" s="30">
        <f t="shared" si="2"/>
        <v>0.6</v>
      </c>
      <c r="I124" s="31">
        <f t="shared" si="3"/>
        <v>0.1276595745</v>
      </c>
    </row>
    <row r="125" ht="22.5" customHeight="1">
      <c r="A125" s="32">
        <v>46048.0</v>
      </c>
      <c r="B125" s="33" t="s">
        <v>203</v>
      </c>
      <c r="C125" s="33" t="s">
        <v>204</v>
      </c>
      <c r="D125" s="33" t="s">
        <v>193</v>
      </c>
      <c r="E125" s="30">
        <v>3.8</v>
      </c>
      <c r="F125" s="30">
        <v>4.4</v>
      </c>
      <c r="G125" s="30">
        <f t="shared" si="1"/>
        <v>4.1</v>
      </c>
      <c r="H125" s="30">
        <f t="shared" si="2"/>
        <v>0.6</v>
      </c>
      <c r="I125" s="31">
        <f t="shared" si="3"/>
        <v>0.1463414634</v>
      </c>
    </row>
    <row r="126" ht="22.5" customHeight="1">
      <c r="A126" s="32">
        <v>46048.0</v>
      </c>
      <c r="B126" s="33" t="s">
        <v>201</v>
      </c>
      <c r="C126" s="33" t="s">
        <v>205</v>
      </c>
      <c r="D126" s="33" t="s">
        <v>192</v>
      </c>
      <c r="E126" s="30">
        <v>4.4</v>
      </c>
      <c r="F126" s="30">
        <v>5.1</v>
      </c>
      <c r="G126" s="30">
        <f t="shared" si="1"/>
        <v>4.75</v>
      </c>
      <c r="H126" s="30">
        <f t="shared" si="2"/>
        <v>0.7</v>
      </c>
      <c r="I126" s="31">
        <f t="shared" si="3"/>
        <v>0.1473684211</v>
      </c>
    </row>
    <row r="127" ht="22.5" customHeight="1">
      <c r="A127" s="32">
        <v>46048.0</v>
      </c>
      <c r="B127" s="33" t="s">
        <v>201</v>
      </c>
      <c r="C127" s="33" t="s">
        <v>205</v>
      </c>
      <c r="D127" s="33" t="s">
        <v>193</v>
      </c>
      <c r="E127" s="30">
        <v>3.9</v>
      </c>
      <c r="F127" s="30">
        <v>4.4</v>
      </c>
      <c r="G127" s="30">
        <f t="shared" si="1"/>
        <v>4.15</v>
      </c>
      <c r="H127" s="30">
        <f t="shared" si="2"/>
        <v>0.5</v>
      </c>
      <c r="I127" s="31">
        <f t="shared" si="3"/>
        <v>0.1204819277</v>
      </c>
    </row>
    <row r="128" ht="22.5" customHeight="1">
      <c r="A128" s="32">
        <v>46048.0</v>
      </c>
      <c r="B128" s="33" t="s">
        <v>203</v>
      </c>
      <c r="C128" s="33" t="s">
        <v>205</v>
      </c>
      <c r="D128" s="33" t="s">
        <v>192</v>
      </c>
      <c r="E128" s="30">
        <v>3.9</v>
      </c>
      <c r="F128" s="30">
        <v>4.5</v>
      </c>
      <c r="G128" s="30">
        <f t="shared" si="1"/>
        <v>4.2</v>
      </c>
      <c r="H128" s="30">
        <f t="shared" si="2"/>
        <v>0.6</v>
      </c>
      <c r="I128" s="31">
        <f t="shared" si="3"/>
        <v>0.1428571429</v>
      </c>
    </row>
    <row r="129" ht="22.5" customHeight="1">
      <c r="A129" s="32">
        <v>46048.0</v>
      </c>
      <c r="B129" s="33" t="s">
        <v>203</v>
      </c>
      <c r="C129" s="33" t="s">
        <v>205</v>
      </c>
      <c r="D129" s="33" t="s">
        <v>193</v>
      </c>
      <c r="E129" s="30">
        <v>3.5</v>
      </c>
      <c r="F129" s="30">
        <v>3.9</v>
      </c>
      <c r="G129" s="30">
        <f t="shared" si="1"/>
        <v>3.7</v>
      </c>
      <c r="H129" s="30">
        <f t="shared" si="2"/>
        <v>0.4</v>
      </c>
      <c r="I129" s="31">
        <f t="shared" si="3"/>
        <v>0.1081081081</v>
      </c>
    </row>
    <row r="130" ht="22.5" customHeight="1">
      <c r="A130" s="32">
        <v>46048.0</v>
      </c>
      <c r="B130" s="33" t="s">
        <v>201</v>
      </c>
      <c r="C130" s="33" t="s">
        <v>206</v>
      </c>
      <c r="D130" s="33" t="s">
        <v>192</v>
      </c>
      <c r="E130" s="30">
        <v>3.9</v>
      </c>
      <c r="F130" s="30">
        <v>4.5</v>
      </c>
      <c r="G130" s="30">
        <f t="shared" si="1"/>
        <v>4.2</v>
      </c>
      <c r="H130" s="30">
        <f t="shared" si="2"/>
        <v>0.6</v>
      </c>
      <c r="I130" s="31">
        <f t="shared" si="3"/>
        <v>0.1428571429</v>
      </c>
    </row>
    <row r="131" ht="22.5" customHeight="1">
      <c r="A131" s="32">
        <v>46048.0</v>
      </c>
      <c r="B131" s="33" t="s">
        <v>201</v>
      </c>
      <c r="C131" s="33" t="s">
        <v>206</v>
      </c>
      <c r="D131" s="33" t="s">
        <v>193</v>
      </c>
      <c r="E131" s="30">
        <v>3.4</v>
      </c>
      <c r="F131" s="30">
        <v>3.9</v>
      </c>
      <c r="G131" s="30">
        <f t="shared" si="1"/>
        <v>3.65</v>
      </c>
      <c r="H131" s="30">
        <f t="shared" si="2"/>
        <v>0.5</v>
      </c>
      <c r="I131" s="31">
        <f t="shared" si="3"/>
        <v>0.1369863014</v>
      </c>
    </row>
    <row r="132" ht="22.5" customHeight="1">
      <c r="A132" s="32">
        <v>46048.0</v>
      </c>
      <c r="B132" s="33" t="s">
        <v>203</v>
      </c>
      <c r="C132" s="33" t="s">
        <v>206</v>
      </c>
      <c r="D132" s="33" t="s">
        <v>192</v>
      </c>
      <c r="E132" s="30">
        <v>3.6</v>
      </c>
      <c r="F132" s="30">
        <v>4.1</v>
      </c>
      <c r="G132" s="30">
        <f t="shared" si="1"/>
        <v>3.85</v>
      </c>
      <c r="H132" s="30">
        <f t="shared" si="2"/>
        <v>0.5</v>
      </c>
      <c r="I132" s="31">
        <f t="shared" si="3"/>
        <v>0.1298701299</v>
      </c>
    </row>
    <row r="133" ht="22.5" customHeight="1">
      <c r="A133" s="32">
        <v>46048.0</v>
      </c>
      <c r="B133" s="33" t="s">
        <v>203</v>
      </c>
      <c r="C133" s="33" t="s">
        <v>206</v>
      </c>
      <c r="D133" s="33" t="s">
        <v>193</v>
      </c>
      <c r="E133" s="30">
        <v>3.1</v>
      </c>
      <c r="F133" s="30">
        <v>3.6</v>
      </c>
      <c r="G133" s="30">
        <f t="shared" si="1"/>
        <v>3.35</v>
      </c>
      <c r="H133" s="30">
        <f t="shared" si="2"/>
        <v>0.5</v>
      </c>
      <c r="I133" s="31">
        <f t="shared" si="3"/>
        <v>0.1492537313</v>
      </c>
    </row>
    <row r="134" ht="22.5" customHeight="1">
      <c r="A134" s="32">
        <v>46048.0</v>
      </c>
      <c r="B134" s="33" t="s">
        <v>201</v>
      </c>
      <c r="C134" s="33" t="s">
        <v>207</v>
      </c>
      <c r="D134" s="33" t="s">
        <v>192</v>
      </c>
      <c r="E134" s="30">
        <v>3.5</v>
      </c>
      <c r="F134" s="30">
        <v>4.0</v>
      </c>
      <c r="G134" s="30">
        <f t="shared" si="1"/>
        <v>3.75</v>
      </c>
      <c r="H134" s="30">
        <f t="shared" si="2"/>
        <v>0.5</v>
      </c>
      <c r="I134" s="31">
        <f t="shared" si="3"/>
        <v>0.1333333333</v>
      </c>
    </row>
    <row r="135" ht="22.5" customHeight="1">
      <c r="A135" s="32">
        <v>46048.0</v>
      </c>
      <c r="B135" s="33" t="s">
        <v>201</v>
      </c>
      <c r="C135" s="33" t="s">
        <v>207</v>
      </c>
      <c r="D135" s="33" t="s">
        <v>193</v>
      </c>
      <c r="E135" s="30">
        <v>3.0</v>
      </c>
      <c r="F135" s="30">
        <v>3.5</v>
      </c>
      <c r="G135" s="30">
        <f t="shared" si="1"/>
        <v>3.25</v>
      </c>
      <c r="H135" s="30">
        <f t="shared" si="2"/>
        <v>0.5</v>
      </c>
      <c r="I135" s="31">
        <f t="shared" si="3"/>
        <v>0.1538461538</v>
      </c>
    </row>
    <row r="136" ht="22.5" customHeight="1">
      <c r="A136" s="32">
        <v>46048.0</v>
      </c>
      <c r="B136" s="33" t="s">
        <v>203</v>
      </c>
      <c r="C136" s="33" t="s">
        <v>207</v>
      </c>
      <c r="D136" s="33" t="s">
        <v>192</v>
      </c>
      <c r="E136" s="30">
        <v>3.2</v>
      </c>
      <c r="F136" s="30">
        <v>3.7</v>
      </c>
      <c r="G136" s="30">
        <f t="shared" si="1"/>
        <v>3.45</v>
      </c>
      <c r="H136" s="30">
        <f t="shared" si="2"/>
        <v>0.5</v>
      </c>
      <c r="I136" s="31">
        <f t="shared" si="3"/>
        <v>0.1449275362</v>
      </c>
    </row>
    <row r="137" ht="22.5" customHeight="1">
      <c r="A137" s="32">
        <v>46048.0</v>
      </c>
      <c r="B137" s="33" t="s">
        <v>203</v>
      </c>
      <c r="C137" s="33" t="s">
        <v>207</v>
      </c>
      <c r="D137" s="33" t="s">
        <v>193</v>
      </c>
      <c r="E137" s="30">
        <v>2.9</v>
      </c>
      <c r="F137" s="30">
        <v>3.2</v>
      </c>
      <c r="G137" s="30">
        <f t="shared" si="1"/>
        <v>3.05</v>
      </c>
      <c r="H137" s="30">
        <f t="shared" si="2"/>
        <v>0.3</v>
      </c>
      <c r="I137" s="31">
        <f t="shared" si="3"/>
        <v>0.09836065574</v>
      </c>
    </row>
    <row r="138" ht="22.5" customHeight="1">
      <c r="A138" s="32">
        <v>46048.0</v>
      </c>
      <c r="B138" s="33" t="s">
        <v>201</v>
      </c>
      <c r="C138" s="33" t="s">
        <v>208</v>
      </c>
      <c r="D138" s="33" t="s">
        <v>192</v>
      </c>
      <c r="E138" s="30">
        <v>3.1</v>
      </c>
      <c r="F138" s="30">
        <v>3.5</v>
      </c>
      <c r="G138" s="30">
        <f t="shared" si="1"/>
        <v>3.3</v>
      </c>
      <c r="H138" s="30">
        <f t="shared" si="2"/>
        <v>0.4</v>
      </c>
      <c r="I138" s="31">
        <f t="shared" si="3"/>
        <v>0.1212121212</v>
      </c>
    </row>
    <row r="139" ht="22.5" customHeight="1">
      <c r="A139" s="32">
        <v>46048.0</v>
      </c>
      <c r="B139" s="33" t="s">
        <v>201</v>
      </c>
      <c r="C139" s="33" t="s">
        <v>208</v>
      </c>
      <c r="D139" s="33" t="s">
        <v>193</v>
      </c>
      <c r="E139" s="30">
        <v>2.8</v>
      </c>
      <c r="F139" s="30">
        <v>3.1</v>
      </c>
      <c r="G139" s="30">
        <f t="shared" si="1"/>
        <v>2.95</v>
      </c>
      <c r="H139" s="30">
        <f t="shared" si="2"/>
        <v>0.3</v>
      </c>
      <c r="I139" s="31">
        <f t="shared" si="3"/>
        <v>0.1016949153</v>
      </c>
    </row>
    <row r="140" ht="22.5" customHeight="1">
      <c r="A140" s="32">
        <v>46048.0</v>
      </c>
      <c r="B140" s="33" t="s">
        <v>203</v>
      </c>
      <c r="C140" s="33" t="s">
        <v>208</v>
      </c>
      <c r="D140" s="33" t="s">
        <v>192</v>
      </c>
      <c r="E140" s="30">
        <v>3.0</v>
      </c>
      <c r="F140" s="30">
        <v>3.3</v>
      </c>
      <c r="G140" s="30">
        <f t="shared" si="1"/>
        <v>3.15</v>
      </c>
      <c r="H140" s="30">
        <f t="shared" si="2"/>
        <v>0.3</v>
      </c>
      <c r="I140" s="31">
        <f t="shared" si="3"/>
        <v>0.09523809524</v>
      </c>
    </row>
    <row r="141" ht="22.5" customHeight="1">
      <c r="A141" s="32">
        <v>46048.0</v>
      </c>
      <c r="B141" s="33" t="s">
        <v>203</v>
      </c>
      <c r="C141" s="33" t="s">
        <v>208</v>
      </c>
      <c r="D141" s="33" t="s">
        <v>193</v>
      </c>
      <c r="E141" s="30">
        <v>2.7</v>
      </c>
      <c r="F141" s="30">
        <v>3.0</v>
      </c>
      <c r="G141" s="30">
        <f t="shared" si="1"/>
        <v>2.85</v>
      </c>
      <c r="H141" s="30">
        <f t="shared" si="2"/>
        <v>0.3</v>
      </c>
      <c r="I141" s="31">
        <f t="shared" si="3"/>
        <v>0.1052631579</v>
      </c>
    </row>
    <row r="142" ht="22.5" customHeight="1">
      <c r="A142" s="32">
        <v>46062.0</v>
      </c>
      <c r="B142" s="33" t="s">
        <v>191</v>
      </c>
      <c r="C142" s="33"/>
      <c r="D142" s="33" t="s">
        <v>192</v>
      </c>
      <c r="E142" s="30">
        <v>3400.0</v>
      </c>
      <c r="F142" s="30">
        <v>4050.0</v>
      </c>
      <c r="G142" s="30">
        <f t="shared" si="1"/>
        <v>3725</v>
      </c>
      <c r="H142" s="30">
        <f t="shared" si="2"/>
        <v>650</v>
      </c>
      <c r="I142" s="31">
        <f t="shared" si="3"/>
        <v>0.1744966443</v>
      </c>
    </row>
    <row r="143" ht="22.5" customHeight="1">
      <c r="A143" s="32">
        <v>46062.0</v>
      </c>
      <c r="B143" s="33" t="s">
        <v>191</v>
      </c>
      <c r="C143" s="33"/>
      <c r="D143" s="33" t="s">
        <v>193</v>
      </c>
      <c r="E143" s="30">
        <v>2400.0</v>
      </c>
      <c r="F143" s="30">
        <v>3400.0</v>
      </c>
      <c r="G143" s="30">
        <f t="shared" si="1"/>
        <v>2900</v>
      </c>
      <c r="H143" s="30">
        <f t="shared" si="2"/>
        <v>1000</v>
      </c>
      <c r="I143" s="31">
        <f t="shared" si="3"/>
        <v>0.3448275862</v>
      </c>
    </row>
    <row r="144" ht="22.5" customHeight="1">
      <c r="A144" s="32">
        <v>46062.0</v>
      </c>
      <c r="B144" s="33" t="s">
        <v>194</v>
      </c>
      <c r="C144" s="33"/>
      <c r="D144" s="33" t="s">
        <v>192</v>
      </c>
      <c r="E144" s="30">
        <v>2850.0</v>
      </c>
      <c r="F144" s="30">
        <v>3450.0</v>
      </c>
      <c r="G144" s="30">
        <f t="shared" si="1"/>
        <v>3150</v>
      </c>
      <c r="H144" s="30">
        <f t="shared" si="2"/>
        <v>600</v>
      </c>
      <c r="I144" s="31">
        <f t="shared" si="3"/>
        <v>0.1904761905</v>
      </c>
    </row>
    <row r="145" ht="22.5" customHeight="1">
      <c r="A145" s="32">
        <v>46062.0</v>
      </c>
      <c r="B145" s="33" t="s">
        <v>194</v>
      </c>
      <c r="C145" s="33"/>
      <c r="D145" s="33" t="s">
        <v>193</v>
      </c>
      <c r="E145" s="30">
        <v>2150.0</v>
      </c>
      <c r="F145" s="30">
        <v>2850.0</v>
      </c>
      <c r="G145" s="30">
        <f t="shared" si="1"/>
        <v>2500</v>
      </c>
      <c r="H145" s="30">
        <f t="shared" si="2"/>
        <v>700</v>
      </c>
      <c r="I145" s="31">
        <f t="shared" si="3"/>
        <v>0.28</v>
      </c>
    </row>
    <row r="146" ht="22.5" customHeight="1">
      <c r="A146" s="32">
        <v>46062.0</v>
      </c>
      <c r="B146" s="33" t="s">
        <v>194</v>
      </c>
      <c r="C146" s="33"/>
      <c r="D146" s="33" t="s">
        <v>195</v>
      </c>
      <c r="E146" s="30">
        <v>1800.0</v>
      </c>
      <c r="F146" s="30">
        <v>2400.0</v>
      </c>
      <c r="G146" s="30">
        <f t="shared" si="1"/>
        <v>2100</v>
      </c>
      <c r="H146" s="30">
        <f t="shared" si="2"/>
        <v>600</v>
      </c>
      <c r="I146" s="31">
        <f t="shared" si="3"/>
        <v>0.2857142857</v>
      </c>
    </row>
    <row r="147" ht="22.5" customHeight="1">
      <c r="A147" s="32">
        <v>46062.0</v>
      </c>
      <c r="B147" s="33" t="s">
        <v>162</v>
      </c>
      <c r="C147" s="33" t="s">
        <v>196</v>
      </c>
      <c r="D147" s="33"/>
      <c r="E147" s="30">
        <v>1.58</v>
      </c>
      <c r="F147" s="30">
        <v>1.66</v>
      </c>
      <c r="G147" s="30">
        <f t="shared" si="1"/>
        <v>1.62</v>
      </c>
      <c r="H147" s="30">
        <f t="shared" si="2"/>
        <v>0.08</v>
      </c>
      <c r="I147" s="31">
        <f t="shared" si="3"/>
        <v>0.04938271605</v>
      </c>
    </row>
    <row r="148" ht="22.5" customHeight="1">
      <c r="A148" s="32">
        <v>46062.0</v>
      </c>
      <c r="B148" s="33" t="s">
        <v>162</v>
      </c>
      <c r="C148" s="33" t="s">
        <v>197</v>
      </c>
      <c r="D148" s="33"/>
      <c r="E148" s="30">
        <v>1.5</v>
      </c>
      <c r="F148" s="30">
        <v>1.6</v>
      </c>
      <c r="G148" s="30">
        <f t="shared" si="1"/>
        <v>1.55</v>
      </c>
      <c r="H148" s="30">
        <f t="shared" si="2"/>
        <v>0.1</v>
      </c>
      <c r="I148" s="31">
        <f t="shared" si="3"/>
        <v>0.06451612903</v>
      </c>
    </row>
    <row r="149" ht="22.5" customHeight="1">
      <c r="A149" s="32">
        <v>46062.0</v>
      </c>
      <c r="B149" s="33" t="s">
        <v>162</v>
      </c>
      <c r="C149" s="33" t="s">
        <v>146</v>
      </c>
      <c r="D149" s="33"/>
      <c r="E149" s="30">
        <v>1.22</v>
      </c>
      <c r="F149" s="30">
        <v>1.42</v>
      </c>
      <c r="G149" s="30">
        <f t="shared" si="1"/>
        <v>1.32</v>
      </c>
      <c r="H149" s="30">
        <f t="shared" si="2"/>
        <v>0.2</v>
      </c>
      <c r="I149" s="31">
        <f t="shared" si="3"/>
        <v>0.1515151515</v>
      </c>
    </row>
    <row r="150" ht="22.5" customHeight="1">
      <c r="A150" s="32">
        <v>46062.0</v>
      </c>
      <c r="B150" s="33" t="s">
        <v>159</v>
      </c>
      <c r="C150" s="33" t="s">
        <v>198</v>
      </c>
      <c r="D150" s="33"/>
      <c r="E150" s="30">
        <v>1.88</v>
      </c>
      <c r="F150" s="30">
        <v>1.96</v>
      </c>
      <c r="G150" s="30">
        <f t="shared" si="1"/>
        <v>1.92</v>
      </c>
      <c r="H150" s="30">
        <f t="shared" si="2"/>
        <v>0.08</v>
      </c>
      <c r="I150" s="31">
        <f t="shared" si="3"/>
        <v>0.04166666667</v>
      </c>
    </row>
    <row r="151" ht="22.5" customHeight="1">
      <c r="A151" s="32">
        <v>46062.0</v>
      </c>
      <c r="B151" s="33" t="s">
        <v>159</v>
      </c>
      <c r="C151" s="33" t="s">
        <v>199</v>
      </c>
      <c r="D151" s="33"/>
      <c r="E151" s="30">
        <v>1.8</v>
      </c>
      <c r="F151" s="30">
        <v>1.88</v>
      </c>
      <c r="G151" s="30">
        <f t="shared" si="1"/>
        <v>1.84</v>
      </c>
      <c r="H151" s="30">
        <f t="shared" si="2"/>
        <v>0.08</v>
      </c>
      <c r="I151" s="31">
        <f t="shared" si="3"/>
        <v>0.04347826087</v>
      </c>
    </row>
    <row r="152" ht="22.5" customHeight="1">
      <c r="A152" s="32">
        <v>46062.0</v>
      </c>
      <c r="B152" s="33" t="s">
        <v>159</v>
      </c>
      <c r="C152" s="33" t="s">
        <v>200</v>
      </c>
      <c r="D152" s="33"/>
      <c r="E152" s="30">
        <v>1.7</v>
      </c>
      <c r="F152" s="30">
        <v>1.8</v>
      </c>
      <c r="G152" s="30">
        <f t="shared" si="1"/>
        <v>1.75</v>
      </c>
      <c r="H152" s="30">
        <f t="shared" si="2"/>
        <v>0.1</v>
      </c>
      <c r="I152" s="31">
        <f t="shared" si="3"/>
        <v>0.05714285714</v>
      </c>
    </row>
    <row r="153" ht="22.5" customHeight="1">
      <c r="A153" s="32">
        <v>46062.0</v>
      </c>
      <c r="B153" s="33" t="s">
        <v>201</v>
      </c>
      <c r="C153" s="33" t="s">
        <v>202</v>
      </c>
      <c r="D153" s="33" t="s">
        <v>192</v>
      </c>
      <c r="E153" s="30">
        <v>6.4</v>
      </c>
      <c r="F153" s="30">
        <v>7.9</v>
      </c>
      <c r="G153" s="30">
        <f t="shared" si="1"/>
        <v>7.15</v>
      </c>
      <c r="H153" s="30">
        <f t="shared" si="2"/>
        <v>1.5</v>
      </c>
      <c r="I153" s="31">
        <f t="shared" si="3"/>
        <v>0.2097902098</v>
      </c>
    </row>
    <row r="154" ht="22.5" customHeight="1">
      <c r="A154" s="32">
        <v>46062.0</v>
      </c>
      <c r="B154" s="33" t="s">
        <v>201</v>
      </c>
      <c r="C154" s="33" t="s">
        <v>202</v>
      </c>
      <c r="D154" s="33" t="s">
        <v>193</v>
      </c>
      <c r="E154" s="30">
        <v>5.2</v>
      </c>
      <c r="F154" s="30">
        <v>6.4</v>
      </c>
      <c r="G154" s="30">
        <f t="shared" si="1"/>
        <v>5.8</v>
      </c>
      <c r="H154" s="30">
        <f t="shared" si="2"/>
        <v>1.2</v>
      </c>
      <c r="I154" s="31">
        <f t="shared" si="3"/>
        <v>0.2068965517</v>
      </c>
    </row>
    <row r="155" ht="22.5" customHeight="1">
      <c r="A155" s="32">
        <v>46062.0</v>
      </c>
      <c r="B155" s="33" t="s">
        <v>203</v>
      </c>
      <c r="C155" s="33" t="s">
        <v>202</v>
      </c>
      <c r="D155" s="33" t="s">
        <v>192</v>
      </c>
      <c r="E155" s="30">
        <v>6.0</v>
      </c>
      <c r="F155" s="30">
        <v>7.6</v>
      </c>
      <c r="G155" s="30">
        <f t="shared" si="1"/>
        <v>6.8</v>
      </c>
      <c r="H155" s="30">
        <f t="shared" si="2"/>
        <v>1.6</v>
      </c>
      <c r="I155" s="31">
        <f t="shared" si="3"/>
        <v>0.2352941176</v>
      </c>
    </row>
    <row r="156" ht="22.5" customHeight="1">
      <c r="A156" s="32">
        <v>46062.0</v>
      </c>
      <c r="B156" s="33" t="s">
        <v>203</v>
      </c>
      <c r="C156" s="33" t="s">
        <v>202</v>
      </c>
      <c r="D156" s="33" t="s">
        <v>193</v>
      </c>
      <c r="E156" s="30">
        <v>4.8</v>
      </c>
      <c r="F156" s="30">
        <v>6.0</v>
      </c>
      <c r="G156" s="30">
        <f t="shared" si="1"/>
        <v>5.4</v>
      </c>
      <c r="H156" s="30">
        <f t="shared" si="2"/>
        <v>1.2</v>
      </c>
      <c r="I156" s="31">
        <f t="shared" si="3"/>
        <v>0.2222222222</v>
      </c>
    </row>
    <row r="157" ht="22.5" customHeight="1">
      <c r="A157" s="32">
        <v>46062.0</v>
      </c>
      <c r="B157" s="33" t="s">
        <v>201</v>
      </c>
      <c r="C157" s="33" t="s">
        <v>204</v>
      </c>
      <c r="D157" s="33" t="s">
        <v>192</v>
      </c>
      <c r="E157" s="30">
        <v>5.8</v>
      </c>
      <c r="F157" s="30">
        <v>6.8</v>
      </c>
      <c r="G157" s="30">
        <f t="shared" si="1"/>
        <v>6.3</v>
      </c>
      <c r="H157" s="30">
        <f t="shared" si="2"/>
        <v>1</v>
      </c>
      <c r="I157" s="31">
        <f t="shared" si="3"/>
        <v>0.1587301587</v>
      </c>
    </row>
    <row r="158" ht="22.5" customHeight="1">
      <c r="A158" s="32">
        <v>46062.0</v>
      </c>
      <c r="B158" s="33" t="s">
        <v>201</v>
      </c>
      <c r="C158" s="33" t="s">
        <v>204</v>
      </c>
      <c r="D158" s="33" t="s">
        <v>193</v>
      </c>
      <c r="E158" s="30">
        <v>5.0</v>
      </c>
      <c r="F158" s="30">
        <v>5.8</v>
      </c>
      <c r="G158" s="30">
        <f t="shared" si="1"/>
        <v>5.4</v>
      </c>
      <c r="H158" s="30">
        <f t="shared" si="2"/>
        <v>0.8</v>
      </c>
      <c r="I158" s="31">
        <f t="shared" si="3"/>
        <v>0.1481481481</v>
      </c>
    </row>
    <row r="159" ht="22.5" customHeight="1">
      <c r="A159" s="32">
        <v>46062.0</v>
      </c>
      <c r="B159" s="33" t="s">
        <v>203</v>
      </c>
      <c r="C159" s="33" t="s">
        <v>204</v>
      </c>
      <c r="D159" s="33" t="s">
        <v>192</v>
      </c>
      <c r="E159" s="30">
        <v>5.2</v>
      </c>
      <c r="F159" s="30">
        <v>6.0</v>
      </c>
      <c r="G159" s="30">
        <f t="shared" si="1"/>
        <v>5.6</v>
      </c>
      <c r="H159" s="30">
        <f t="shared" si="2"/>
        <v>0.8</v>
      </c>
      <c r="I159" s="31">
        <f t="shared" si="3"/>
        <v>0.1428571429</v>
      </c>
    </row>
    <row r="160" ht="22.5" customHeight="1">
      <c r="A160" s="32">
        <v>46062.0</v>
      </c>
      <c r="B160" s="33" t="s">
        <v>203</v>
      </c>
      <c r="C160" s="33" t="s">
        <v>204</v>
      </c>
      <c r="D160" s="33" t="s">
        <v>193</v>
      </c>
      <c r="E160" s="30">
        <v>4.4</v>
      </c>
      <c r="F160" s="30">
        <v>5.2</v>
      </c>
      <c r="G160" s="30">
        <f t="shared" si="1"/>
        <v>4.8</v>
      </c>
      <c r="H160" s="30">
        <f t="shared" si="2"/>
        <v>0.8</v>
      </c>
      <c r="I160" s="31">
        <f t="shared" si="3"/>
        <v>0.1666666667</v>
      </c>
    </row>
    <row r="161" ht="22.5" customHeight="1">
      <c r="A161" s="32">
        <v>46062.0</v>
      </c>
      <c r="B161" s="33" t="s">
        <v>201</v>
      </c>
      <c r="C161" s="33" t="s">
        <v>205</v>
      </c>
      <c r="D161" s="33" t="s">
        <v>192</v>
      </c>
      <c r="E161" s="30">
        <v>5.1</v>
      </c>
      <c r="F161" s="30">
        <v>5.9</v>
      </c>
      <c r="G161" s="30">
        <f t="shared" si="1"/>
        <v>5.5</v>
      </c>
      <c r="H161" s="30">
        <f t="shared" si="2"/>
        <v>0.8</v>
      </c>
      <c r="I161" s="31">
        <f t="shared" si="3"/>
        <v>0.1454545455</v>
      </c>
    </row>
    <row r="162" ht="22.5" customHeight="1">
      <c r="A162" s="32">
        <v>46062.0</v>
      </c>
      <c r="B162" s="33" t="s">
        <v>201</v>
      </c>
      <c r="C162" s="33" t="s">
        <v>205</v>
      </c>
      <c r="D162" s="33" t="s">
        <v>193</v>
      </c>
      <c r="E162" s="30">
        <v>4.5</v>
      </c>
      <c r="F162" s="30">
        <v>5.1</v>
      </c>
      <c r="G162" s="30">
        <f t="shared" si="1"/>
        <v>4.8</v>
      </c>
      <c r="H162" s="30">
        <f t="shared" si="2"/>
        <v>0.6</v>
      </c>
      <c r="I162" s="31">
        <f t="shared" si="3"/>
        <v>0.125</v>
      </c>
    </row>
    <row r="163" ht="22.5" customHeight="1">
      <c r="A163" s="32">
        <v>46062.0</v>
      </c>
      <c r="B163" s="33" t="s">
        <v>203</v>
      </c>
      <c r="C163" s="33" t="s">
        <v>205</v>
      </c>
      <c r="D163" s="33" t="s">
        <v>192</v>
      </c>
      <c r="E163" s="30">
        <v>4.6</v>
      </c>
      <c r="F163" s="30">
        <v>5.2</v>
      </c>
      <c r="G163" s="30">
        <f t="shared" si="1"/>
        <v>4.9</v>
      </c>
      <c r="H163" s="30">
        <f t="shared" si="2"/>
        <v>0.6</v>
      </c>
      <c r="I163" s="31">
        <f t="shared" si="3"/>
        <v>0.1224489796</v>
      </c>
    </row>
    <row r="164" ht="22.5" customHeight="1">
      <c r="A164" s="32">
        <v>46062.0</v>
      </c>
      <c r="B164" s="33" t="s">
        <v>203</v>
      </c>
      <c r="C164" s="33" t="s">
        <v>205</v>
      </c>
      <c r="D164" s="33" t="s">
        <v>193</v>
      </c>
      <c r="E164" s="30">
        <v>4.0</v>
      </c>
      <c r="F164" s="30">
        <v>4.6</v>
      </c>
      <c r="G164" s="30">
        <f t="shared" si="1"/>
        <v>4.3</v>
      </c>
      <c r="H164" s="30">
        <f t="shared" si="2"/>
        <v>0.6</v>
      </c>
      <c r="I164" s="31">
        <f t="shared" si="3"/>
        <v>0.1395348837</v>
      </c>
    </row>
    <row r="165" ht="22.5" customHeight="1">
      <c r="A165" s="32">
        <v>46062.0</v>
      </c>
      <c r="B165" s="33" t="s">
        <v>201</v>
      </c>
      <c r="C165" s="33" t="s">
        <v>206</v>
      </c>
      <c r="D165" s="33" t="s">
        <v>192</v>
      </c>
      <c r="E165" s="30">
        <v>4.5</v>
      </c>
      <c r="F165" s="30">
        <v>5.2</v>
      </c>
      <c r="G165" s="30">
        <f t="shared" si="1"/>
        <v>4.85</v>
      </c>
      <c r="H165" s="30">
        <f t="shared" si="2"/>
        <v>0.7</v>
      </c>
      <c r="I165" s="31">
        <f t="shared" si="3"/>
        <v>0.1443298969</v>
      </c>
    </row>
    <row r="166" ht="22.5" customHeight="1">
      <c r="A166" s="32">
        <v>46062.0</v>
      </c>
      <c r="B166" s="33" t="s">
        <v>201</v>
      </c>
      <c r="C166" s="33" t="s">
        <v>206</v>
      </c>
      <c r="D166" s="33" t="s">
        <v>193</v>
      </c>
      <c r="E166" s="30">
        <v>3.9</v>
      </c>
      <c r="F166" s="30">
        <v>4.5</v>
      </c>
      <c r="G166" s="30">
        <f t="shared" si="1"/>
        <v>4.2</v>
      </c>
      <c r="H166" s="30">
        <f t="shared" si="2"/>
        <v>0.6</v>
      </c>
      <c r="I166" s="31">
        <f t="shared" si="3"/>
        <v>0.1428571429</v>
      </c>
    </row>
    <row r="167" ht="22.5" customHeight="1">
      <c r="A167" s="32">
        <v>46062.0</v>
      </c>
      <c r="B167" s="33" t="s">
        <v>203</v>
      </c>
      <c r="C167" s="33" t="s">
        <v>206</v>
      </c>
      <c r="D167" s="33" t="s">
        <v>192</v>
      </c>
      <c r="E167" s="30">
        <v>4.1</v>
      </c>
      <c r="F167" s="30">
        <v>4.7</v>
      </c>
      <c r="G167" s="30">
        <f t="shared" si="1"/>
        <v>4.4</v>
      </c>
      <c r="H167" s="30">
        <f t="shared" si="2"/>
        <v>0.6</v>
      </c>
      <c r="I167" s="31">
        <f t="shared" si="3"/>
        <v>0.1363636364</v>
      </c>
    </row>
    <row r="168" ht="22.5" customHeight="1">
      <c r="A168" s="32">
        <v>46062.0</v>
      </c>
      <c r="B168" s="33" t="s">
        <v>203</v>
      </c>
      <c r="C168" s="33" t="s">
        <v>206</v>
      </c>
      <c r="D168" s="33" t="s">
        <v>193</v>
      </c>
      <c r="E168" s="30">
        <v>3.6</v>
      </c>
      <c r="F168" s="30">
        <v>4.1</v>
      </c>
      <c r="G168" s="30">
        <f t="shared" si="1"/>
        <v>3.85</v>
      </c>
      <c r="H168" s="30">
        <f t="shared" si="2"/>
        <v>0.5</v>
      </c>
      <c r="I168" s="31">
        <f t="shared" si="3"/>
        <v>0.1298701299</v>
      </c>
    </row>
    <row r="169" ht="22.5" customHeight="1">
      <c r="A169" s="32">
        <v>46062.0</v>
      </c>
      <c r="B169" s="33" t="s">
        <v>201</v>
      </c>
      <c r="C169" s="33" t="s">
        <v>207</v>
      </c>
      <c r="D169" s="33" t="s">
        <v>192</v>
      </c>
      <c r="E169" s="30">
        <v>4.0</v>
      </c>
      <c r="F169" s="30">
        <v>4.5</v>
      </c>
      <c r="G169" s="30">
        <f t="shared" si="1"/>
        <v>4.25</v>
      </c>
      <c r="H169" s="30">
        <f t="shared" si="2"/>
        <v>0.5</v>
      </c>
      <c r="I169" s="31">
        <f t="shared" si="3"/>
        <v>0.1176470588</v>
      </c>
    </row>
    <row r="170" ht="22.5" customHeight="1">
      <c r="A170" s="32">
        <v>46062.0</v>
      </c>
      <c r="B170" s="33" t="s">
        <v>201</v>
      </c>
      <c r="C170" s="33" t="s">
        <v>207</v>
      </c>
      <c r="D170" s="33" t="s">
        <v>193</v>
      </c>
      <c r="E170" s="30">
        <v>3.5</v>
      </c>
      <c r="F170" s="30">
        <v>4.0</v>
      </c>
      <c r="G170" s="30">
        <f t="shared" si="1"/>
        <v>3.75</v>
      </c>
      <c r="H170" s="30">
        <f t="shared" si="2"/>
        <v>0.5</v>
      </c>
      <c r="I170" s="31">
        <f t="shared" si="3"/>
        <v>0.1333333333</v>
      </c>
    </row>
    <row r="171" ht="22.5" customHeight="1">
      <c r="A171" s="32">
        <v>46062.0</v>
      </c>
      <c r="B171" s="33" t="s">
        <v>203</v>
      </c>
      <c r="C171" s="33" t="s">
        <v>207</v>
      </c>
      <c r="D171" s="33" t="s">
        <v>192</v>
      </c>
      <c r="E171" s="30">
        <v>3.7</v>
      </c>
      <c r="F171" s="30">
        <v>4.2</v>
      </c>
      <c r="G171" s="30">
        <f t="shared" si="1"/>
        <v>3.95</v>
      </c>
      <c r="H171" s="30">
        <f t="shared" si="2"/>
        <v>0.5</v>
      </c>
      <c r="I171" s="31">
        <f t="shared" si="3"/>
        <v>0.1265822785</v>
      </c>
    </row>
    <row r="172" ht="22.5" customHeight="1">
      <c r="A172" s="32">
        <v>46062.0</v>
      </c>
      <c r="B172" s="33" t="s">
        <v>203</v>
      </c>
      <c r="C172" s="33" t="s">
        <v>207</v>
      </c>
      <c r="D172" s="33" t="s">
        <v>193</v>
      </c>
      <c r="E172" s="30">
        <v>3.3</v>
      </c>
      <c r="F172" s="30">
        <v>3.7</v>
      </c>
      <c r="G172" s="30">
        <f t="shared" si="1"/>
        <v>3.5</v>
      </c>
      <c r="H172" s="30">
        <f t="shared" si="2"/>
        <v>0.4</v>
      </c>
      <c r="I172" s="31">
        <f t="shared" si="3"/>
        <v>0.1142857143</v>
      </c>
    </row>
    <row r="173" ht="22.5" customHeight="1">
      <c r="A173" s="32">
        <v>46062.0</v>
      </c>
      <c r="B173" s="33" t="s">
        <v>201</v>
      </c>
      <c r="C173" s="33" t="s">
        <v>208</v>
      </c>
      <c r="D173" s="33" t="s">
        <v>192</v>
      </c>
      <c r="E173" s="30">
        <v>3.6</v>
      </c>
      <c r="F173" s="30">
        <v>4.0</v>
      </c>
      <c r="G173" s="30">
        <f t="shared" si="1"/>
        <v>3.8</v>
      </c>
      <c r="H173" s="30">
        <f t="shared" si="2"/>
        <v>0.4</v>
      </c>
      <c r="I173" s="31">
        <f t="shared" si="3"/>
        <v>0.1052631579</v>
      </c>
    </row>
    <row r="174" ht="22.5" customHeight="1">
      <c r="A174" s="32">
        <v>46062.0</v>
      </c>
      <c r="B174" s="33" t="s">
        <v>201</v>
      </c>
      <c r="C174" s="33" t="s">
        <v>208</v>
      </c>
      <c r="D174" s="33" t="s">
        <v>193</v>
      </c>
      <c r="E174" s="30">
        <v>3.2</v>
      </c>
      <c r="F174" s="30">
        <v>3.6</v>
      </c>
      <c r="G174" s="30">
        <f t="shared" si="1"/>
        <v>3.4</v>
      </c>
      <c r="H174" s="30">
        <f t="shared" si="2"/>
        <v>0.4</v>
      </c>
      <c r="I174" s="31">
        <f t="shared" si="3"/>
        <v>0.1176470588</v>
      </c>
    </row>
    <row r="175" ht="22.5" customHeight="1">
      <c r="A175" s="32">
        <v>46062.0</v>
      </c>
      <c r="B175" s="33" t="s">
        <v>203</v>
      </c>
      <c r="C175" s="33" t="s">
        <v>208</v>
      </c>
      <c r="D175" s="33" t="s">
        <v>192</v>
      </c>
      <c r="E175" s="30">
        <v>3.4</v>
      </c>
      <c r="F175" s="30">
        <v>3.8</v>
      </c>
      <c r="G175" s="30">
        <f t="shared" si="1"/>
        <v>3.6</v>
      </c>
      <c r="H175" s="30">
        <f t="shared" si="2"/>
        <v>0.4</v>
      </c>
      <c r="I175" s="31">
        <f t="shared" si="3"/>
        <v>0.1111111111</v>
      </c>
    </row>
    <row r="176" ht="22.5" customHeight="1">
      <c r="A176" s="32">
        <v>46062.0</v>
      </c>
      <c r="B176" s="33" t="s">
        <v>203</v>
      </c>
      <c r="C176" s="33" t="s">
        <v>208</v>
      </c>
      <c r="D176" s="33" t="s">
        <v>193</v>
      </c>
      <c r="E176" s="30">
        <v>3.0</v>
      </c>
      <c r="F176" s="30">
        <v>3.4</v>
      </c>
      <c r="G176" s="30">
        <f t="shared" si="1"/>
        <v>3.2</v>
      </c>
      <c r="H176" s="30">
        <f t="shared" si="2"/>
        <v>0.4</v>
      </c>
      <c r="I176" s="31">
        <f t="shared" si="3"/>
        <v>0.125</v>
      </c>
    </row>
    <row r="177" ht="22.5" customHeight="1">
      <c r="A177" s="32">
        <v>46069.0</v>
      </c>
      <c r="B177" s="33" t="s">
        <v>191</v>
      </c>
      <c r="C177" s="33"/>
      <c r="D177" s="33" t="s">
        <v>192</v>
      </c>
      <c r="E177" s="30">
        <v>3300.0</v>
      </c>
      <c r="F177" s="30">
        <v>3850.0</v>
      </c>
      <c r="G177" s="30">
        <f t="shared" si="1"/>
        <v>3575</v>
      </c>
      <c r="H177" s="30">
        <f t="shared" si="2"/>
        <v>550</v>
      </c>
      <c r="I177" s="31">
        <f t="shared" si="3"/>
        <v>0.1538461538</v>
      </c>
    </row>
    <row r="178" ht="22.5" customHeight="1">
      <c r="A178" s="32">
        <v>46069.0</v>
      </c>
      <c r="B178" s="33" t="s">
        <v>191</v>
      </c>
      <c r="C178" s="33"/>
      <c r="D178" s="33" t="s">
        <v>193</v>
      </c>
      <c r="E178" s="30">
        <v>2250.0</v>
      </c>
      <c r="F178" s="30">
        <v>3300.0</v>
      </c>
      <c r="G178" s="30">
        <f t="shared" si="1"/>
        <v>2775</v>
      </c>
      <c r="H178" s="30">
        <f t="shared" si="2"/>
        <v>1050</v>
      </c>
      <c r="I178" s="31">
        <f t="shared" si="3"/>
        <v>0.3783783784</v>
      </c>
    </row>
    <row r="179" ht="22.5" customHeight="1">
      <c r="A179" s="32">
        <v>46069.0</v>
      </c>
      <c r="B179" s="33" t="s">
        <v>194</v>
      </c>
      <c r="C179" s="33"/>
      <c r="D179" s="33" t="s">
        <v>192</v>
      </c>
      <c r="E179" s="30">
        <v>2850.0</v>
      </c>
      <c r="F179" s="30">
        <v>3450.0</v>
      </c>
      <c r="G179" s="30">
        <f t="shared" si="1"/>
        <v>3150</v>
      </c>
      <c r="H179" s="30">
        <f t="shared" si="2"/>
        <v>600</v>
      </c>
      <c r="I179" s="31">
        <f t="shared" si="3"/>
        <v>0.1904761905</v>
      </c>
    </row>
    <row r="180" ht="22.5" customHeight="1">
      <c r="A180" s="32">
        <v>46069.0</v>
      </c>
      <c r="B180" s="33" t="s">
        <v>194</v>
      </c>
      <c r="C180" s="33"/>
      <c r="D180" s="33" t="s">
        <v>193</v>
      </c>
      <c r="E180" s="30">
        <v>2150.0</v>
      </c>
      <c r="F180" s="30">
        <v>2850.0</v>
      </c>
      <c r="G180" s="30">
        <f t="shared" si="1"/>
        <v>2500</v>
      </c>
      <c r="H180" s="30">
        <f t="shared" si="2"/>
        <v>700</v>
      </c>
      <c r="I180" s="31">
        <f t="shared" si="3"/>
        <v>0.28</v>
      </c>
    </row>
    <row r="181" ht="22.5" customHeight="1">
      <c r="A181" s="32">
        <v>46069.0</v>
      </c>
      <c r="B181" s="33" t="s">
        <v>194</v>
      </c>
      <c r="C181" s="33"/>
      <c r="D181" s="33" t="s">
        <v>195</v>
      </c>
      <c r="E181" s="30">
        <v>1800.0</v>
      </c>
      <c r="F181" s="30">
        <v>2400.0</v>
      </c>
      <c r="G181" s="30">
        <f t="shared" si="1"/>
        <v>2100</v>
      </c>
      <c r="H181" s="30">
        <f t="shared" si="2"/>
        <v>600</v>
      </c>
      <c r="I181" s="31">
        <f t="shared" si="3"/>
        <v>0.2857142857</v>
      </c>
    </row>
    <row r="182" ht="22.5" customHeight="1">
      <c r="A182" s="32">
        <v>46069.0</v>
      </c>
      <c r="B182" s="33" t="s">
        <v>162</v>
      </c>
      <c r="C182" s="33" t="s">
        <v>196</v>
      </c>
      <c r="D182" s="33"/>
      <c r="E182" s="30">
        <v>1.58</v>
      </c>
      <c r="F182" s="30">
        <v>1.68</v>
      </c>
      <c r="G182" s="30">
        <f t="shared" si="1"/>
        <v>1.63</v>
      </c>
      <c r="H182" s="30">
        <f t="shared" si="2"/>
        <v>0.1</v>
      </c>
      <c r="I182" s="31">
        <f t="shared" si="3"/>
        <v>0.06134969325</v>
      </c>
    </row>
    <row r="183" ht="22.5" customHeight="1">
      <c r="A183" s="32">
        <v>46069.0</v>
      </c>
      <c r="B183" s="33" t="s">
        <v>162</v>
      </c>
      <c r="C183" s="33" t="s">
        <v>197</v>
      </c>
      <c r="D183" s="33"/>
      <c r="E183" s="30">
        <v>1.52</v>
      </c>
      <c r="F183" s="30">
        <v>1.62</v>
      </c>
      <c r="G183" s="30">
        <f t="shared" si="1"/>
        <v>1.57</v>
      </c>
      <c r="H183" s="30">
        <f t="shared" si="2"/>
        <v>0.1</v>
      </c>
      <c r="I183" s="31">
        <f t="shared" si="3"/>
        <v>0.06369426752</v>
      </c>
    </row>
    <row r="184" ht="22.5" customHeight="1">
      <c r="A184" s="32">
        <v>46069.0</v>
      </c>
      <c r="B184" s="33" t="s">
        <v>162</v>
      </c>
      <c r="C184" s="33" t="s">
        <v>146</v>
      </c>
      <c r="D184" s="33"/>
      <c r="E184" s="30">
        <v>1.28</v>
      </c>
      <c r="F184" s="30">
        <v>1.44</v>
      </c>
      <c r="G184" s="30">
        <f t="shared" si="1"/>
        <v>1.36</v>
      </c>
      <c r="H184" s="30">
        <f t="shared" si="2"/>
        <v>0.16</v>
      </c>
      <c r="I184" s="31">
        <f t="shared" si="3"/>
        <v>0.1176470588</v>
      </c>
    </row>
    <row r="185" ht="22.5" customHeight="1">
      <c r="A185" s="32">
        <v>46069.0</v>
      </c>
      <c r="B185" s="33" t="s">
        <v>159</v>
      </c>
      <c r="C185" s="33" t="s">
        <v>198</v>
      </c>
      <c r="D185" s="33"/>
      <c r="E185" s="30">
        <v>1.9</v>
      </c>
      <c r="F185" s="30">
        <v>1.98</v>
      </c>
      <c r="G185" s="30">
        <f t="shared" si="1"/>
        <v>1.94</v>
      </c>
      <c r="H185" s="30">
        <f t="shared" si="2"/>
        <v>0.08</v>
      </c>
      <c r="I185" s="31">
        <f t="shared" si="3"/>
        <v>0.0412371134</v>
      </c>
    </row>
    <row r="186" ht="22.5" customHeight="1">
      <c r="A186" s="32">
        <v>46069.0</v>
      </c>
      <c r="B186" s="33" t="s">
        <v>159</v>
      </c>
      <c r="C186" s="33" t="s">
        <v>199</v>
      </c>
      <c r="D186" s="33"/>
      <c r="E186" s="30">
        <v>1.84</v>
      </c>
      <c r="F186" s="30">
        <v>1.9</v>
      </c>
      <c r="G186" s="30">
        <f t="shared" si="1"/>
        <v>1.87</v>
      </c>
      <c r="H186" s="30">
        <f t="shared" si="2"/>
        <v>0.06</v>
      </c>
      <c r="I186" s="31">
        <f t="shared" si="3"/>
        <v>0.0320855615</v>
      </c>
    </row>
    <row r="187" ht="22.5" customHeight="1">
      <c r="A187" s="32">
        <v>46069.0</v>
      </c>
      <c r="B187" s="33" t="s">
        <v>159</v>
      </c>
      <c r="C187" s="33" t="s">
        <v>200</v>
      </c>
      <c r="D187" s="33"/>
      <c r="E187" s="30">
        <v>1.68</v>
      </c>
      <c r="F187" s="30">
        <v>1.84</v>
      </c>
      <c r="G187" s="30">
        <f t="shared" si="1"/>
        <v>1.76</v>
      </c>
      <c r="H187" s="30">
        <f t="shared" si="2"/>
        <v>0.16</v>
      </c>
      <c r="I187" s="31">
        <f t="shared" si="3"/>
        <v>0.09090909091</v>
      </c>
    </row>
    <row r="188" ht="22.5" customHeight="1">
      <c r="A188" s="32">
        <v>46069.0</v>
      </c>
      <c r="B188" s="33" t="s">
        <v>201</v>
      </c>
      <c r="C188" s="33" t="s">
        <v>202</v>
      </c>
      <c r="D188" s="33" t="s">
        <v>192</v>
      </c>
      <c r="E188" s="30">
        <v>6.8</v>
      </c>
      <c r="F188" s="30">
        <v>8.4</v>
      </c>
      <c r="G188" s="30">
        <f t="shared" si="1"/>
        <v>7.6</v>
      </c>
      <c r="H188" s="30">
        <f t="shared" si="2"/>
        <v>1.6</v>
      </c>
      <c r="I188" s="31">
        <f t="shared" si="3"/>
        <v>0.2105263158</v>
      </c>
    </row>
    <row r="189" ht="22.5" customHeight="1">
      <c r="A189" s="32">
        <v>46069.0</v>
      </c>
      <c r="B189" s="33" t="s">
        <v>201</v>
      </c>
      <c r="C189" s="33" t="s">
        <v>202</v>
      </c>
      <c r="D189" s="33" t="s">
        <v>193</v>
      </c>
      <c r="E189" s="30">
        <v>5.6</v>
      </c>
      <c r="F189" s="30">
        <v>6.8</v>
      </c>
      <c r="G189" s="30">
        <f t="shared" si="1"/>
        <v>6.2</v>
      </c>
      <c r="H189" s="30">
        <f t="shared" si="2"/>
        <v>1.2</v>
      </c>
      <c r="I189" s="31">
        <f t="shared" si="3"/>
        <v>0.1935483871</v>
      </c>
    </row>
    <row r="190" ht="22.5" customHeight="1">
      <c r="A190" s="32">
        <v>46069.0</v>
      </c>
      <c r="B190" s="33" t="s">
        <v>203</v>
      </c>
      <c r="C190" s="33" t="s">
        <v>202</v>
      </c>
      <c r="D190" s="33" t="s">
        <v>192</v>
      </c>
      <c r="E190" s="30">
        <v>6.38</v>
      </c>
      <c r="F190" s="30">
        <v>8.1</v>
      </c>
      <c r="G190" s="30">
        <f t="shared" si="1"/>
        <v>7.24</v>
      </c>
      <c r="H190" s="30">
        <f t="shared" si="2"/>
        <v>1.72</v>
      </c>
      <c r="I190" s="31">
        <f t="shared" si="3"/>
        <v>0.2375690608</v>
      </c>
    </row>
    <row r="191" ht="22.5" customHeight="1">
      <c r="A191" s="32">
        <v>46069.0</v>
      </c>
      <c r="B191" s="33" t="s">
        <v>203</v>
      </c>
      <c r="C191" s="33" t="s">
        <v>202</v>
      </c>
      <c r="D191" s="33" t="s">
        <v>193</v>
      </c>
      <c r="E191" s="30">
        <v>5.04</v>
      </c>
      <c r="F191" s="30">
        <v>6.38</v>
      </c>
      <c r="G191" s="30">
        <f t="shared" si="1"/>
        <v>5.71</v>
      </c>
      <c r="H191" s="30">
        <f t="shared" si="2"/>
        <v>1.34</v>
      </c>
      <c r="I191" s="31">
        <f t="shared" si="3"/>
        <v>0.234676007</v>
      </c>
    </row>
    <row r="192" ht="22.5" customHeight="1">
      <c r="A192" s="32">
        <v>46069.0</v>
      </c>
      <c r="B192" s="33" t="s">
        <v>201</v>
      </c>
      <c r="C192" s="33" t="s">
        <v>204</v>
      </c>
      <c r="D192" s="33" t="s">
        <v>192</v>
      </c>
      <c r="E192" s="30">
        <v>6.1</v>
      </c>
      <c r="F192" s="30">
        <v>7.0</v>
      </c>
      <c r="G192" s="30">
        <f t="shared" si="1"/>
        <v>6.55</v>
      </c>
      <c r="H192" s="30">
        <f t="shared" si="2"/>
        <v>0.9</v>
      </c>
      <c r="I192" s="31">
        <f t="shared" si="3"/>
        <v>0.1374045802</v>
      </c>
    </row>
    <row r="193" ht="22.5" customHeight="1">
      <c r="A193" s="32">
        <v>46069.0</v>
      </c>
      <c r="B193" s="33" t="s">
        <v>201</v>
      </c>
      <c r="C193" s="33" t="s">
        <v>204</v>
      </c>
      <c r="D193" s="33" t="s">
        <v>193</v>
      </c>
      <c r="E193" s="30">
        <v>5.3</v>
      </c>
      <c r="F193" s="30">
        <v>6.1</v>
      </c>
      <c r="G193" s="30">
        <f t="shared" si="1"/>
        <v>5.7</v>
      </c>
      <c r="H193" s="30">
        <f t="shared" si="2"/>
        <v>0.8</v>
      </c>
      <c r="I193" s="31">
        <f t="shared" si="3"/>
        <v>0.1403508772</v>
      </c>
    </row>
    <row r="194" ht="22.5" customHeight="1">
      <c r="A194" s="32">
        <v>46069.0</v>
      </c>
      <c r="B194" s="33" t="s">
        <v>203</v>
      </c>
      <c r="C194" s="33" t="s">
        <v>204</v>
      </c>
      <c r="D194" s="33" t="s">
        <v>192</v>
      </c>
      <c r="E194" s="30">
        <v>5.4</v>
      </c>
      <c r="F194" s="30">
        <v>6.2</v>
      </c>
      <c r="G194" s="30">
        <f t="shared" si="1"/>
        <v>5.8</v>
      </c>
      <c r="H194" s="30">
        <f t="shared" si="2"/>
        <v>0.8</v>
      </c>
      <c r="I194" s="31">
        <f t="shared" si="3"/>
        <v>0.1379310345</v>
      </c>
    </row>
    <row r="195" ht="22.5" customHeight="1">
      <c r="A195" s="32">
        <v>46069.0</v>
      </c>
      <c r="B195" s="33" t="s">
        <v>203</v>
      </c>
      <c r="C195" s="33" t="s">
        <v>204</v>
      </c>
      <c r="D195" s="33" t="s">
        <v>193</v>
      </c>
      <c r="E195" s="30">
        <v>4.6</v>
      </c>
      <c r="F195" s="30">
        <v>5.4</v>
      </c>
      <c r="G195" s="30">
        <f t="shared" si="1"/>
        <v>5</v>
      </c>
      <c r="H195" s="30">
        <f t="shared" si="2"/>
        <v>0.8</v>
      </c>
      <c r="I195" s="31">
        <f t="shared" si="3"/>
        <v>0.16</v>
      </c>
    </row>
    <row r="196" ht="22.5" customHeight="1">
      <c r="A196" s="32">
        <v>46069.0</v>
      </c>
      <c r="B196" s="33" t="s">
        <v>201</v>
      </c>
      <c r="C196" s="33" t="s">
        <v>205</v>
      </c>
      <c r="D196" s="33" t="s">
        <v>192</v>
      </c>
      <c r="E196" s="30">
        <v>5.4</v>
      </c>
      <c r="F196" s="30">
        <v>6.1</v>
      </c>
      <c r="G196" s="30">
        <f t="shared" si="1"/>
        <v>5.75</v>
      </c>
      <c r="H196" s="30">
        <f t="shared" si="2"/>
        <v>0.7</v>
      </c>
      <c r="I196" s="31">
        <f t="shared" si="3"/>
        <v>0.1217391304</v>
      </c>
    </row>
    <row r="197" ht="22.5" customHeight="1">
      <c r="A197" s="32">
        <v>46069.0</v>
      </c>
      <c r="B197" s="33" t="s">
        <v>201</v>
      </c>
      <c r="C197" s="33" t="s">
        <v>205</v>
      </c>
      <c r="D197" s="33" t="s">
        <v>193</v>
      </c>
      <c r="E197" s="30">
        <v>4.7</v>
      </c>
      <c r="F197" s="30">
        <v>5.4</v>
      </c>
      <c r="G197" s="30">
        <f t="shared" si="1"/>
        <v>5.05</v>
      </c>
      <c r="H197" s="30">
        <f t="shared" si="2"/>
        <v>0.7</v>
      </c>
      <c r="I197" s="31">
        <f t="shared" si="3"/>
        <v>0.1386138614</v>
      </c>
    </row>
    <row r="198" ht="22.5" customHeight="1">
      <c r="A198" s="32">
        <v>46069.0</v>
      </c>
      <c r="B198" s="33" t="s">
        <v>203</v>
      </c>
      <c r="C198" s="33" t="s">
        <v>205</v>
      </c>
      <c r="D198" s="33" t="s">
        <v>192</v>
      </c>
      <c r="E198" s="30">
        <v>4.8</v>
      </c>
      <c r="F198" s="30">
        <v>5.4</v>
      </c>
      <c r="G198" s="30">
        <f t="shared" si="1"/>
        <v>5.1</v>
      </c>
      <c r="H198" s="30">
        <f t="shared" si="2"/>
        <v>0.6</v>
      </c>
      <c r="I198" s="31">
        <f t="shared" si="3"/>
        <v>0.1176470588</v>
      </c>
    </row>
    <row r="199" ht="22.5" customHeight="1">
      <c r="A199" s="32">
        <v>46069.0</v>
      </c>
      <c r="B199" s="33" t="s">
        <v>203</v>
      </c>
      <c r="C199" s="33" t="s">
        <v>205</v>
      </c>
      <c r="D199" s="33" t="s">
        <v>193</v>
      </c>
      <c r="E199" s="30">
        <v>4.2</v>
      </c>
      <c r="F199" s="30">
        <v>4.8</v>
      </c>
      <c r="G199" s="30">
        <f t="shared" si="1"/>
        <v>4.5</v>
      </c>
      <c r="H199" s="30">
        <f t="shared" si="2"/>
        <v>0.6</v>
      </c>
      <c r="I199" s="31">
        <f t="shared" si="3"/>
        <v>0.1333333333</v>
      </c>
    </row>
    <row r="200" ht="22.5" customHeight="1">
      <c r="A200" s="32">
        <v>46069.0</v>
      </c>
      <c r="B200" s="33" t="s">
        <v>201</v>
      </c>
      <c r="C200" s="33" t="s">
        <v>206</v>
      </c>
      <c r="D200" s="33" t="s">
        <v>192</v>
      </c>
      <c r="E200" s="30">
        <v>4.8</v>
      </c>
      <c r="F200" s="30">
        <v>5.4</v>
      </c>
      <c r="G200" s="30">
        <f t="shared" si="1"/>
        <v>5.1</v>
      </c>
      <c r="H200" s="30">
        <f t="shared" si="2"/>
        <v>0.6</v>
      </c>
      <c r="I200" s="31">
        <f t="shared" si="3"/>
        <v>0.1176470588</v>
      </c>
    </row>
    <row r="201" ht="22.5" customHeight="1">
      <c r="A201" s="32">
        <v>46069.0</v>
      </c>
      <c r="B201" s="33" t="s">
        <v>201</v>
      </c>
      <c r="C201" s="33" t="s">
        <v>206</v>
      </c>
      <c r="D201" s="33" t="s">
        <v>193</v>
      </c>
      <c r="E201" s="30">
        <v>4.1</v>
      </c>
      <c r="F201" s="30">
        <v>4.8</v>
      </c>
      <c r="G201" s="30">
        <f t="shared" si="1"/>
        <v>4.45</v>
      </c>
      <c r="H201" s="30">
        <f t="shared" si="2"/>
        <v>0.7</v>
      </c>
      <c r="I201" s="31">
        <f t="shared" si="3"/>
        <v>0.1573033708</v>
      </c>
    </row>
    <row r="202" ht="22.5" customHeight="1">
      <c r="A202" s="32">
        <v>46069.0</v>
      </c>
      <c r="B202" s="33" t="s">
        <v>203</v>
      </c>
      <c r="C202" s="33" t="s">
        <v>206</v>
      </c>
      <c r="D202" s="33" t="s">
        <v>192</v>
      </c>
      <c r="E202" s="30">
        <v>4.4</v>
      </c>
      <c r="F202" s="30">
        <v>4.9</v>
      </c>
      <c r="G202" s="30">
        <f t="shared" si="1"/>
        <v>4.65</v>
      </c>
      <c r="H202" s="30">
        <f t="shared" si="2"/>
        <v>0.5</v>
      </c>
      <c r="I202" s="31">
        <f t="shared" si="3"/>
        <v>0.1075268817</v>
      </c>
    </row>
    <row r="203" ht="22.5" customHeight="1">
      <c r="A203" s="32">
        <v>46069.0</v>
      </c>
      <c r="B203" s="33" t="s">
        <v>203</v>
      </c>
      <c r="C203" s="33" t="s">
        <v>206</v>
      </c>
      <c r="D203" s="33" t="s">
        <v>193</v>
      </c>
      <c r="E203" s="30">
        <v>3.8</v>
      </c>
      <c r="F203" s="30">
        <v>4.4</v>
      </c>
      <c r="G203" s="30">
        <f t="shared" si="1"/>
        <v>4.1</v>
      </c>
      <c r="H203" s="30">
        <f t="shared" si="2"/>
        <v>0.6</v>
      </c>
      <c r="I203" s="31">
        <f t="shared" si="3"/>
        <v>0.1463414634</v>
      </c>
    </row>
    <row r="204" ht="22.5" customHeight="1">
      <c r="A204" s="32">
        <v>46069.0</v>
      </c>
      <c r="B204" s="33" t="s">
        <v>201</v>
      </c>
      <c r="C204" s="33" t="s">
        <v>207</v>
      </c>
      <c r="D204" s="33" t="s">
        <v>192</v>
      </c>
      <c r="E204" s="30">
        <v>4.2</v>
      </c>
      <c r="F204" s="30">
        <v>4.7</v>
      </c>
      <c r="G204" s="30">
        <f t="shared" si="1"/>
        <v>4.45</v>
      </c>
      <c r="H204" s="30">
        <f t="shared" si="2"/>
        <v>0.5</v>
      </c>
      <c r="I204" s="31">
        <f t="shared" si="3"/>
        <v>0.1123595506</v>
      </c>
    </row>
    <row r="205" ht="22.5" customHeight="1">
      <c r="A205" s="32">
        <v>46069.0</v>
      </c>
      <c r="B205" s="33" t="s">
        <v>201</v>
      </c>
      <c r="C205" s="33" t="s">
        <v>207</v>
      </c>
      <c r="D205" s="33" t="s">
        <v>193</v>
      </c>
      <c r="E205" s="30">
        <v>3.6</v>
      </c>
      <c r="F205" s="30">
        <v>4.2</v>
      </c>
      <c r="G205" s="30">
        <f t="shared" si="1"/>
        <v>3.9</v>
      </c>
      <c r="H205" s="30">
        <f t="shared" si="2"/>
        <v>0.6</v>
      </c>
      <c r="I205" s="31">
        <f t="shared" si="3"/>
        <v>0.1538461538</v>
      </c>
    </row>
    <row r="206" ht="22.5" customHeight="1">
      <c r="A206" s="32">
        <v>46069.0</v>
      </c>
      <c r="B206" s="33" t="s">
        <v>203</v>
      </c>
      <c r="C206" s="33" t="s">
        <v>207</v>
      </c>
      <c r="D206" s="33" t="s">
        <v>192</v>
      </c>
      <c r="E206" s="30">
        <v>3.9</v>
      </c>
      <c r="F206" s="30">
        <v>4.4</v>
      </c>
      <c r="G206" s="30">
        <f t="shared" si="1"/>
        <v>4.15</v>
      </c>
      <c r="H206" s="30">
        <f t="shared" si="2"/>
        <v>0.5</v>
      </c>
      <c r="I206" s="31">
        <f t="shared" si="3"/>
        <v>0.1204819277</v>
      </c>
    </row>
    <row r="207" ht="22.5" customHeight="1">
      <c r="A207" s="32">
        <v>46069.0</v>
      </c>
      <c r="B207" s="33" t="s">
        <v>203</v>
      </c>
      <c r="C207" s="33" t="s">
        <v>207</v>
      </c>
      <c r="D207" s="33" t="s">
        <v>193</v>
      </c>
      <c r="E207" s="30">
        <v>3.4</v>
      </c>
      <c r="F207" s="30">
        <v>3.9</v>
      </c>
      <c r="G207" s="30">
        <f t="shared" si="1"/>
        <v>3.65</v>
      </c>
      <c r="H207" s="30">
        <f t="shared" si="2"/>
        <v>0.5</v>
      </c>
      <c r="I207" s="31">
        <f t="shared" si="3"/>
        <v>0.1369863014</v>
      </c>
    </row>
    <row r="208" ht="22.5" customHeight="1">
      <c r="A208" s="32">
        <v>46069.0</v>
      </c>
      <c r="B208" s="33" t="s">
        <v>201</v>
      </c>
      <c r="C208" s="33" t="s">
        <v>208</v>
      </c>
      <c r="D208" s="33" t="s">
        <v>192</v>
      </c>
      <c r="E208" s="30">
        <v>3.7</v>
      </c>
      <c r="F208" s="30">
        <v>4.1</v>
      </c>
      <c r="G208" s="30">
        <f t="shared" si="1"/>
        <v>3.9</v>
      </c>
      <c r="H208" s="30">
        <f t="shared" si="2"/>
        <v>0.4</v>
      </c>
      <c r="I208" s="31">
        <f t="shared" si="3"/>
        <v>0.1025641026</v>
      </c>
    </row>
    <row r="209" ht="22.5" customHeight="1">
      <c r="A209" s="32">
        <v>46069.0</v>
      </c>
      <c r="B209" s="33" t="s">
        <v>201</v>
      </c>
      <c r="C209" s="33" t="s">
        <v>208</v>
      </c>
      <c r="D209" s="33" t="s">
        <v>193</v>
      </c>
      <c r="E209" s="30">
        <v>3.2</v>
      </c>
      <c r="F209" s="30">
        <v>3.7</v>
      </c>
      <c r="G209" s="30">
        <f t="shared" si="1"/>
        <v>3.45</v>
      </c>
      <c r="H209" s="30">
        <f t="shared" si="2"/>
        <v>0.5</v>
      </c>
      <c r="I209" s="31">
        <f t="shared" si="3"/>
        <v>0.1449275362</v>
      </c>
    </row>
    <row r="210" ht="22.5" customHeight="1">
      <c r="A210" s="32">
        <v>46069.0</v>
      </c>
      <c r="B210" s="33" t="s">
        <v>203</v>
      </c>
      <c r="C210" s="33" t="s">
        <v>208</v>
      </c>
      <c r="D210" s="33" t="s">
        <v>192</v>
      </c>
      <c r="E210" s="30">
        <v>3.5</v>
      </c>
      <c r="F210" s="30">
        <v>3.9</v>
      </c>
      <c r="G210" s="30">
        <f t="shared" si="1"/>
        <v>3.7</v>
      </c>
      <c r="H210" s="30">
        <f t="shared" si="2"/>
        <v>0.4</v>
      </c>
      <c r="I210" s="31">
        <f t="shared" si="3"/>
        <v>0.1081081081</v>
      </c>
    </row>
    <row r="211" ht="22.5" customHeight="1">
      <c r="A211" s="32">
        <v>46069.0</v>
      </c>
      <c r="B211" s="33" t="s">
        <v>203</v>
      </c>
      <c r="C211" s="33" t="s">
        <v>208</v>
      </c>
      <c r="D211" s="33" t="s">
        <v>193</v>
      </c>
      <c r="E211" s="30">
        <v>3.1</v>
      </c>
      <c r="F211" s="30">
        <v>3.5</v>
      </c>
      <c r="G211" s="30">
        <f t="shared" si="1"/>
        <v>3.3</v>
      </c>
      <c r="H211" s="30">
        <f t="shared" si="2"/>
        <v>0.4</v>
      </c>
      <c r="I211" s="31">
        <f t="shared" si="3"/>
        <v>0.1212121212</v>
      </c>
    </row>
  </sheetData>
  <dataValidations>
    <dataValidation type="list" allowBlank="1" showDropDown="1" showErrorMessage="1" sqref="C2:C211">
      <formula1>"Utility &amp; Boners,Fat Breakers,Canners,High Yielding,Medium Yielding,Low Yielding,200-300 lbs,300-400 lbs,400-500 lbs,500-600 lbs,600-700 lbs,700-800 lbs"</formula1>
    </dataValidation>
    <dataValidation type="list" allowBlank="1" showDropDown="1" showErrorMessage="1" sqref="D2:D211">
      <formula1>"Choice,Good,Open"</formula1>
    </dataValidation>
    <dataValidation type="custom" allowBlank="1" showDropDown="1" sqref="A2:A211">
      <formula1>OR(NOT(ISERROR(DATEVALUE(A2))), AND(ISNUMBER(A2), LEFT(CELL("format", A2))="D"))</formula1>
    </dataValidation>
    <dataValidation type="list" allowBlank="1" showDropDown="1" showErrorMessage="1" sqref="B2:B211">
      <formula1>"Cow &amp; Calf Pairs,Bred &amp; Stocker Cows,Packer Cows,Packer Bulls,Steers,Heifers"</formula1>
    </dataValidation>
    <dataValidation type="custom" allowBlank="1" showDropDown="1" sqref="E2:I21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5"/>
    <col customWidth="1" min="4" max="4" width="14.0"/>
  </cols>
  <sheetData>
    <row r="1" ht="22.5" customHeight="1">
      <c r="A1" s="11" t="s">
        <v>209</v>
      </c>
      <c r="B1" s="11" t="s">
        <v>113</v>
      </c>
      <c r="C1" s="11" t="s">
        <v>180</v>
      </c>
      <c r="D1" s="11" t="s">
        <v>181</v>
      </c>
      <c r="E1" s="11" t="s">
        <v>172</v>
      </c>
    </row>
    <row r="2" ht="22.5" customHeight="1">
      <c r="A2" s="2" t="s">
        <v>88</v>
      </c>
      <c r="B2" s="34">
        <v>46031.0</v>
      </c>
      <c r="C2" s="2">
        <v>687.0</v>
      </c>
    </row>
    <row r="3" ht="22.5" customHeight="1">
      <c r="A3" s="2" t="s">
        <v>88</v>
      </c>
      <c r="B3" s="34">
        <v>46038.0</v>
      </c>
      <c r="C3" s="2">
        <v>858.0</v>
      </c>
    </row>
    <row r="4" ht="22.5" customHeight="1">
      <c r="A4" s="2" t="s">
        <v>88</v>
      </c>
      <c r="B4" s="34">
        <v>46045.0</v>
      </c>
      <c r="C4" s="2">
        <v>475.0</v>
      </c>
    </row>
    <row r="5" ht="22.5" customHeight="1">
      <c r="A5" s="2" t="s">
        <v>88</v>
      </c>
      <c r="B5" s="34">
        <v>46052.0</v>
      </c>
      <c r="C5" s="2">
        <v>410.0</v>
      </c>
    </row>
    <row r="6" ht="22.5" customHeight="1">
      <c r="A6" s="2" t="s">
        <v>88</v>
      </c>
      <c r="B6" s="34">
        <v>46059.0</v>
      </c>
      <c r="C6" s="2">
        <v>748.0</v>
      </c>
    </row>
    <row r="7" ht="22.5" customHeight="1">
      <c r="A7" s="2" t="s">
        <v>88</v>
      </c>
      <c r="B7" s="34">
        <v>46066.0</v>
      </c>
      <c r="C7" s="2">
        <v>817.0</v>
      </c>
    </row>
    <row r="8" ht="22.5" customHeight="1">
      <c r="A8" s="2" t="s">
        <v>88</v>
      </c>
      <c r="B8" s="34">
        <v>46073.0</v>
      </c>
      <c r="C8" s="2">
        <v>571.0</v>
      </c>
    </row>
    <row r="9" ht="22.5" customHeight="1">
      <c r="A9" s="21" t="s">
        <v>88</v>
      </c>
      <c r="B9" s="35">
        <v>45821.0</v>
      </c>
      <c r="C9" s="21">
        <v>262.0</v>
      </c>
      <c r="D9" s="18"/>
      <c r="E9" s="18"/>
    </row>
    <row r="10" ht="22.5" customHeight="1">
      <c r="A10" s="21" t="s">
        <v>88</v>
      </c>
      <c r="B10" s="35">
        <v>45828.0</v>
      </c>
      <c r="C10" s="21">
        <v>855.0</v>
      </c>
      <c r="D10" s="18"/>
      <c r="E10" s="18"/>
    </row>
    <row r="11" ht="22.5" customHeight="1">
      <c r="A11" s="21" t="s">
        <v>88</v>
      </c>
      <c r="B11" s="35">
        <v>45835.0</v>
      </c>
      <c r="C11" s="21">
        <v>532.0</v>
      </c>
      <c r="D11" s="18"/>
      <c r="E11" s="18"/>
    </row>
    <row r="12" ht="22.5" customHeight="1">
      <c r="A12" s="21" t="s">
        <v>88</v>
      </c>
      <c r="B12" s="35">
        <v>45849.0</v>
      </c>
      <c r="C12" s="21">
        <v>706.0</v>
      </c>
      <c r="D12" s="18"/>
      <c r="E12" s="18"/>
    </row>
    <row r="13" ht="22.5" customHeight="1">
      <c r="A13" s="21" t="s">
        <v>88</v>
      </c>
      <c r="B13" s="35">
        <v>45856.0</v>
      </c>
      <c r="C13" s="21">
        <v>877.0</v>
      </c>
      <c r="D13" s="18"/>
      <c r="E13" s="18"/>
    </row>
    <row r="14" ht="22.5" customHeight="1">
      <c r="A14" s="21" t="s">
        <v>88</v>
      </c>
      <c r="B14" s="35">
        <v>45863.0</v>
      </c>
      <c r="C14" s="21">
        <v>796.0</v>
      </c>
      <c r="D14" s="18"/>
      <c r="E14" s="18"/>
    </row>
    <row r="15" ht="22.5" customHeight="1">
      <c r="A15" s="21" t="s">
        <v>88</v>
      </c>
      <c r="B15" s="35">
        <v>45870.0</v>
      </c>
      <c r="C15" s="21">
        <v>703.0</v>
      </c>
      <c r="D15" s="18"/>
      <c r="E15" s="18"/>
    </row>
    <row r="16" ht="22.5" customHeight="1">
      <c r="A16" s="21" t="s">
        <v>88</v>
      </c>
      <c r="B16" s="35">
        <v>45877.0</v>
      </c>
      <c r="C16" s="21">
        <v>684.0</v>
      </c>
      <c r="D16" s="18"/>
      <c r="E16" s="18"/>
    </row>
    <row r="17" ht="22.5" customHeight="1">
      <c r="A17" s="21" t="s">
        <v>88</v>
      </c>
      <c r="B17" s="35">
        <v>45891.0</v>
      </c>
      <c r="C17" s="21">
        <v>564.0</v>
      </c>
      <c r="D17" s="18"/>
      <c r="E17" s="18"/>
    </row>
    <row r="18" ht="22.5" customHeight="1">
      <c r="A18" s="21" t="s">
        <v>88</v>
      </c>
      <c r="B18" s="35">
        <v>45905.0</v>
      </c>
      <c r="C18" s="21">
        <v>654.0</v>
      </c>
      <c r="D18" s="18"/>
      <c r="E18" s="18"/>
    </row>
    <row r="19" ht="22.5" customHeight="1">
      <c r="A19" s="21" t="s">
        <v>88</v>
      </c>
      <c r="B19" s="35">
        <v>45814.0</v>
      </c>
      <c r="C19" s="21">
        <v>749.0</v>
      </c>
      <c r="D19" s="18"/>
      <c r="E19" s="18"/>
    </row>
    <row r="20" ht="22.5" customHeight="1">
      <c r="A20" s="21" t="s">
        <v>88</v>
      </c>
      <c r="B20" s="35">
        <v>45912.0</v>
      </c>
      <c r="C20" s="21">
        <v>682.0</v>
      </c>
      <c r="D20" s="18"/>
      <c r="E20" s="18"/>
    </row>
    <row r="21" ht="22.5" customHeight="1">
      <c r="A21" s="21" t="s">
        <v>88</v>
      </c>
      <c r="B21" s="35">
        <v>45919.0</v>
      </c>
      <c r="C21" s="21">
        <v>583.0</v>
      </c>
      <c r="D21" s="18"/>
      <c r="E21" s="18"/>
    </row>
    <row r="22" ht="22.5" customHeight="1">
      <c r="A22" s="21" t="s">
        <v>88</v>
      </c>
      <c r="B22" s="35">
        <v>45926.0</v>
      </c>
      <c r="C22" s="21">
        <v>998.0</v>
      </c>
      <c r="D22" s="18"/>
      <c r="E22" s="18"/>
    </row>
    <row r="23" ht="22.5" customHeight="1">
      <c r="A23" s="21" t="s">
        <v>88</v>
      </c>
      <c r="B23" s="35">
        <v>45933.0</v>
      </c>
      <c r="C23" s="21">
        <v>1199.0</v>
      </c>
      <c r="D23" s="18"/>
      <c r="E23" s="18"/>
    </row>
    <row r="24" ht="22.5" customHeight="1">
      <c r="A24" s="21" t="s">
        <v>88</v>
      </c>
      <c r="B24" s="35">
        <v>45940.0</v>
      </c>
      <c r="C24" s="21">
        <v>1147.0</v>
      </c>
      <c r="D24" s="18"/>
      <c r="E24" s="18"/>
    </row>
    <row r="25" ht="22.5" customHeight="1">
      <c r="A25" s="21" t="s">
        <v>88</v>
      </c>
      <c r="B25" s="35">
        <v>45947.0</v>
      </c>
      <c r="C25" s="21">
        <v>1144.0</v>
      </c>
      <c r="D25" s="18"/>
      <c r="E25" s="18"/>
    </row>
    <row r="26" ht="22.5" customHeight="1">
      <c r="A26" s="21" t="s">
        <v>88</v>
      </c>
      <c r="B26" s="35">
        <v>45954.0</v>
      </c>
      <c r="C26" s="21">
        <v>1134.0</v>
      </c>
      <c r="D26" s="18"/>
      <c r="E26" s="18"/>
    </row>
    <row r="27" ht="22.5" customHeight="1">
      <c r="A27" s="21" t="s">
        <v>88</v>
      </c>
      <c r="B27" s="35">
        <v>45968.0</v>
      </c>
      <c r="C27" s="21">
        <v>1006.0</v>
      </c>
      <c r="D27" s="18"/>
      <c r="E27" s="18"/>
    </row>
    <row r="28" ht="22.5" customHeight="1">
      <c r="A28" s="21" t="s">
        <v>88</v>
      </c>
      <c r="B28" s="35">
        <v>45975.0</v>
      </c>
      <c r="C28" s="21">
        <v>945.0</v>
      </c>
      <c r="D28" s="18"/>
      <c r="E28" s="18"/>
    </row>
    <row r="29" ht="22.5" customHeight="1">
      <c r="A29" s="21" t="s">
        <v>88</v>
      </c>
      <c r="B29" s="35">
        <v>45982.0</v>
      </c>
      <c r="C29" s="21">
        <v>1387.0</v>
      </c>
      <c r="D29" s="18"/>
      <c r="E29" s="18"/>
    </row>
    <row r="30" ht="22.5" customHeight="1">
      <c r="A30" s="21" t="s">
        <v>88</v>
      </c>
      <c r="B30" s="35">
        <v>45996.0</v>
      </c>
      <c r="C30" s="21">
        <v>542.0</v>
      </c>
      <c r="D30" s="18"/>
      <c r="E30" s="18"/>
    </row>
    <row r="31" ht="22.5" customHeight="1">
      <c r="A31" s="21" t="s">
        <v>88</v>
      </c>
      <c r="B31" s="35">
        <v>46003.0</v>
      </c>
      <c r="C31" s="21">
        <v>1109.0</v>
      </c>
      <c r="D31" s="18"/>
      <c r="E31" s="18"/>
    </row>
  </sheetData>
  <dataValidations>
    <dataValidation type="custom" allowBlank="1" showDropDown="1" sqref="B2:B3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88"/>
    <col customWidth="1" min="3" max="3" width="17.25"/>
    <col customWidth="1" min="4" max="4" width="18.25"/>
    <col customWidth="1" min="5" max="5" width="12.75"/>
    <col customWidth="1" min="6" max="6" width="13.13"/>
  </cols>
  <sheetData>
    <row r="1" ht="22.5" customHeight="1">
      <c r="A1" s="11" t="s">
        <v>113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  <c r="G1" s="13" t="s">
        <v>188</v>
      </c>
      <c r="H1" s="13" t="s">
        <v>189</v>
      </c>
      <c r="I1" s="13" t="s">
        <v>190</v>
      </c>
    </row>
    <row r="2" ht="22.5" customHeight="1">
      <c r="A2" s="34">
        <v>46031.0</v>
      </c>
      <c r="B2" s="2" t="s">
        <v>136</v>
      </c>
      <c r="C2" s="2" t="s">
        <v>210</v>
      </c>
      <c r="E2" s="2">
        <v>0.8</v>
      </c>
      <c r="F2" s="2">
        <v>1.39</v>
      </c>
      <c r="G2" s="30">
        <f t="shared" ref="G2:G781" si="1">(E2+F2)/2</f>
        <v>1.095</v>
      </c>
      <c r="H2" s="30">
        <f t="shared" ref="H2:H108" si="2">F2-E2</f>
        <v>0.59</v>
      </c>
      <c r="I2" s="31">
        <f t="shared" ref="I2:I781" si="3">(F2-E2)/G2</f>
        <v>0.5388127854</v>
      </c>
    </row>
    <row r="3" ht="22.5" customHeight="1">
      <c r="A3" s="34">
        <v>46031.0</v>
      </c>
      <c r="B3" s="2" t="s">
        <v>136</v>
      </c>
      <c r="C3" s="2" t="s">
        <v>211</v>
      </c>
      <c r="E3" s="2">
        <v>1.3</v>
      </c>
      <c r="F3" s="2">
        <v>1.54</v>
      </c>
      <c r="G3" s="30">
        <f t="shared" si="1"/>
        <v>1.42</v>
      </c>
      <c r="H3" s="30">
        <f t="shared" si="2"/>
        <v>0.24</v>
      </c>
      <c r="I3" s="31">
        <f t="shared" si="3"/>
        <v>0.1690140845</v>
      </c>
    </row>
    <row r="4" ht="22.5" customHeight="1">
      <c r="A4" s="34">
        <v>46031.0</v>
      </c>
      <c r="B4" s="2" t="s">
        <v>136</v>
      </c>
      <c r="C4" s="2" t="s">
        <v>212</v>
      </c>
      <c r="E4" s="2">
        <v>1.55</v>
      </c>
      <c r="F4" s="2">
        <v>1.75</v>
      </c>
      <c r="G4" s="30">
        <f t="shared" si="1"/>
        <v>1.65</v>
      </c>
      <c r="H4" s="30">
        <f t="shared" si="2"/>
        <v>0.2</v>
      </c>
      <c r="I4" s="31">
        <f t="shared" si="3"/>
        <v>0.1212121212</v>
      </c>
    </row>
    <row r="5" ht="22.5" customHeight="1">
      <c r="A5" s="34">
        <v>46031.0</v>
      </c>
      <c r="B5" s="2" t="s">
        <v>213</v>
      </c>
      <c r="C5" s="2" t="s">
        <v>214</v>
      </c>
      <c r="E5" s="2">
        <v>1.67</v>
      </c>
      <c r="F5" s="2">
        <v>1.86</v>
      </c>
      <c r="G5" s="30">
        <f t="shared" si="1"/>
        <v>1.765</v>
      </c>
      <c r="H5" s="30">
        <f t="shared" si="2"/>
        <v>0.19</v>
      </c>
      <c r="I5" s="31">
        <f t="shared" si="3"/>
        <v>0.1076487252</v>
      </c>
    </row>
    <row r="6" ht="22.5" customHeight="1">
      <c r="A6" s="34">
        <v>46031.0</v>
      </c>
      <c r="B6" s="2" t="s">
        <v>213</v>
      </c>
      <c r="C6" s="2" t="s">
        <v>215</v>
      </c>
      <c r="E6" s="2">
        <v>2.02</v>
      </c>
      <c r="F6" s="2">
        <v>2.02</v>
      </c>
      <c r="G6" s="30">
        <f t="shared" si="1"/>
        <v>2.02</v>
      </c>
      <c r="H6" s="30">
        <f t="shared" si="2"/>
        <v>0</v>
      </c>
      <c r="I6" s="31">
        <f t="shared" si="3"/>
        <v>0</v>
      </c>
    </row>
    <row r="7" ht="22.5" customHeight="1">
      <c r="A7" s="34">
        <v>46031.0</v>
      </c>
      <c r="B7" s="2" t="s">
        <v>213</v>
      </c>
      <c r="C7" s="2" t="s">
        <v>216</v>
      </c>
      <c r="E7" s="2">
        <v>1.31</v>
      </c>
      <c r="F7" s="2">
        <v>1.65</v>
      </c>
      <c r="G7" s="30">
        <f t="shared" si="1"/>
        <v>1.48</v>
      </c>
      <c r="H7" s="30">
        <f t="shared" si="2"/>
        <v>0.34</v>
      </c>
      <c r="I7" s="31">
        <f t="shared" si="3"/>
        <v>0.2297297297</v>
      </c>
    </row>
    <row r="8" ht="22.5" customHeight="1">
      <c r="A8" s="34">
        <v>46031.0</v>
      </c>
      <c r="B8" s="2" t="s">
        <v>133</v>
      </c>
      <c r="C8" s="2" t="s">
        <v>217</v>
      </c>
      <c r="E8" s="2">
        <v>4500.0</v>
      </c>
      <c r="F8" s="2">
        <v>6700.0</v>
      </c>
      <c r="G8" s="30">
        <f t="shared" si="1"/>
        <v>5600</v>
      </c>
      <c r="H8" s="30">
        <f t="shared" si="2"/>
        <v>2200</v>
      </c>
      <c r="I8" s="31">
        <f t="shared" si="3"/>
        <v>0.3928571429</v>
      </c>
    </row>
    <row r="9" ht="22.5" customHeight="1">
      <c r="A9" s="34">
        <v>46031.0</v>
      </c>
      <c r="B9" s="2" t="s">
        <v>133</v>
      </c>
      <c r="C9" s="2" t="s">
        <v>218</v>
      </c>
      <c r="E9" s="2">
        <v>2500.0</v>
      </c>
      <c r="F9" s="2">
        <v>4000.0</v>
      </c>
      <c r="G9" s="30">
        <f t="shared" si="1"/>
        <v>3250</v>
      </c>
      <c r="H9" s="30">
        <f t="shared" si="2"/>
        <v>1500</v>
      </c>
      <c r="I9" s="31">
        <f t="shared" si="3"/>
        <v>0.4615384615</v>
      </c>
    </row>
    <row r="10" ht="22.5" customHeight="1">
      <c r="A10" s="34">
        <v>46031.0</v>
      </c>
      <c r="B10" s="2" t="s">
        <v>133</v>
      </c>
      <c r="C10" s="2" t="s">
        <v>219</v>
      </c>
      <c r="E10" s="2">
        <v>2800.0</v>
      </c>
      <c r="F10" s="2">
        <v>6000.0</v>
      </c>
      <c r="G10" s="30">
        <f t="shared" si="1"/>
        <v>4400</v>
      </c>
      <c r="H10" s="30">
        <f t="shared" si="2"/>
        <v>3200</v>
      </c>
      <c r="I10" s="31">
        <f t="shared" si="3"/>
        <v>0.7272727273</v>
      </c>
    </row>
    <row r="11" ht="22.5" customHeight="1">
      <c r="A11" s="34">
        <v>46031.0</v>
      </c>
      <c r="B11" s="2" t="s">
        <v>133</v>
      </c>
      <c r="C11" s="2" t="s">
        <v>220</v>
      </c>
      <c r="E11" s="2">
        <v>1750.0</v>
      </c>
      <c r="F11" s="2">
        <v>2500.0</v>
      </c>
      <c r="G11" s="30">
        <f t="shared" si="1"/>
        <v>2125</v>
      </c>
      <c r="H11" s="30">
        <f t="shared" si="2"/>
        <v>750</v>
      </c>
      <c r="I11" s="31">
        <f t="shared" si="3"/>
        <v>0.3529411765</v>
      </c>
    </row>
    <row r="12" ht="22.5" customHeight="1">
      <c r="A12" s="34">
        <v>46031.0</v>
      </c>
      <c r="B12" s="2" t="s">
        <v>120</v>
      </c>
      <c r="C12" s="2" t="s">
        <v>221</v>
      </c>
      <c r="D12" s="2" t="s">
        <v>222</v>
      </c>
      <c r="E12" s="2">
        <v>4.5</v>
      </c>
      <c r="F12" s="2">
        <v>6.9</v>
      </c>
      <c r="G12" s="30">
        <f t="shared" si="1"/>
        <v>5.7</v>
      </c>
      <c r="H12" s="30">
        <f t="shared" si="2"/>
        <v>2.4</v>
      </c>
      <c r="I12" s="31">
        <f t="shared" si="3"/>
        <v>0.4210526316</v>
      </c>
    </row>
    <row r="13" ht="22.5" customHeight="1">
      <c r="A13" s="34">
        <v>46031.0</v>
      </c>
      <c r="B13" s="2" t="s">
        <v>120</v>
      </c>
      <c r="C13" s="2" t="s">
        <v>223</v>
      </c>
      <c r="D13" s="2" t="s">
        <v>222</v>
      </c>
      <c r="E13" s="2">
        <v>3.9</v>
      </c>
      <c r="F13" s="2">
        <v>6.9</v>
      </c>
      <c r="G13" s="30">
        <f t="shared" si="1"/>
        <v>5.4</v>
      </c>
      <c r="H13" s="30">
        <f t="shared" si="2"/>
        <v>3</v>
      </c>
      <c r="I13" s="31">
        <f t="shared" si="3"/>
        <v>0.5555555556</v>
      </c>
    </row>
    <row r="14" ht="22.5" customHeight="1">
      <c r="A14" s="34">
        <v>46031.0</v>
      </c>
      <c r="B14" s="2" t="s">
        <v>120</v>
      </c>
      <c r="C14" s="2" t="s">
        <v>224</v>
      </c>
      <c r="D14" s="2" t="s">
        <v>222</v>
      </c>
      <c r="E14" s="2">
        <v>3.25</v>
      </c>
      <c r="F14" s="2">
        <v>6.25</v>
      </c>
      <c r="G14" s="30">
        <f t="shared" si="1"/>
        <v>4.75</v>
      </c>
      <c r="H14" s="30">
        <f t="shared" si="2"/>
        <v>3</v>
      </c>
      <c r="I14" s="31">
        <f t="shared" si="3"/>
        <v>0.6315789474</v>
      </c>
    </row>
    <row r="15" ht="22.5" customHeight="1">
      <c r="A15" s="34">
        <v>46031.0</v>
      </c>
      <c r="B15" s="2" t="s">
        <v>120</v>
      </c>
      <c r="C15" s="2" t="s">
        <v>225</v>
      </c>
      <c r="D15" s="2" t="s">
        <v>222</v>
      </c>
      <c r="E15" s="2">
        <v>3.0</v>
      </c>
      <c r="F15" s="2">
        <v>5.5</v>
      </c>
      <c r="G15" s="30">
        <f t="shared" si="1"/>
        <v>4.25</v>
      </c>
      <c r="H15" s="30">
        <f t="shared" si="2"/>
        <v>2.5</v>
      </c>
      <c r="I15" s="31">
        <f t="shared" si="3"/>
        <v>0.5882352941</v>
      </c>
    </row>
    <row r="16" ht="22.5" customHeight="1">
      <c r="A16" s="34">
        <v>46031.0</v>
      </c>
      <c r="B16" s="2" t="s">
        <v>120</v>
      </c>
      <c r="C16" s="2" t="s">
        <v>226</v>
      </c>
      <c r="D16" s="2" t="s">
        <v>222</v>
      </c>
      <c r="E16" s="2">
        <v>2.85</v>
      </c>
      <c r="F16" s="2">
        <v>5.0</v>
      </c>
      <c r="G16" s="30">
        <f t="shared" si="1"/>
        <v>3.925</v>
      </c>
      <c r="H16" s="30">
        <f t="shared" si="2"/>
        <v>2.15</v>
      </c>
      <c r="I16" s="31">
        <f t="shared" si="3"/>
        <v>0.5477707006</v>
      </c>
    </row>
    <row r="17" ht="22.5" customHeight="1">
      <c r="A17" s="34">
        <v>46031.0</v>
      </c>
      <c r="B17" s="2" t="s">
        <v>120</v>
      </c>
      <c r="C17" s="2" t="s">
        <v>227</v>
      </c>
      <c r="D17" s="2" t="s">
        <v>222</v>
      </c>
      <c r="E17" s="2">
        <v>2.55</v>
      </c>
      <c r="F17" s="2">
        <v>4.17</v>
      </c>
      <c r="G17" s="30">
        <f t="shared" si="1"/>
        <v>3.36</v>
      </c>
      <c r="H17" s="30">
        <f t="shared" si="2"/>
        <v>1.62</v>
      </c>
      <c r="I17" s="31">
        <f t="shared" si="3"/>
        <v>0.4821428571</v>
      </c>
    </row>
    <row r="18" ht="22.5" customHeight="1">
      <c r="A18" s="34">
        <v>46031.0</v>
      </c>
      <c r="B18" s="2" t="s">
        <v>120</v>
      </c>
      <c r="C18" s="2" t="s">
        <v>228</v>
      </c>
      <c r="D18" s="2" t="s">
        <v>222</v>
      </c>
      <c r="E18" s="2">
        <v>2.0</v>
      </c>
      <c r="F18" s="2">
        <v>3.55</v>
      </c>
      <c r="G18" s="30">
        <f t="shared" si="1"/>
        <v>2.775</v>
      </c>
      <c r="H18" s="30">
        <f t="shared" si="2"/>
        <v>1.55</v>
      </c>
      <c r="I18" s="31">
        <f t="shared" si="3"/>
        <v>0.5585585586</v>
      </c>
    </row>
    <row r="19" ht="22.5" customHeight="1">
      <c r="A19" s="34">
        <v>46031.0</v>
      </c>
      <c r="B19" s="2" t="s">
        <v>120</v>
      </c>
      <c r="C19" s="2" t="s">
        <v>229</v>
      </c>
      <c r="D19" s="2" t="s">
        <v>222</v>
      </c>
      <c r="E19" s="2">
        <v>2.1</v>
      </c>
      <c r="F19" s="2">
        <v>3.3</v>
      </c>
      <c r="G19" s="30">
        <f t="shared" si="1"/>
        <v>2.7</v>
      </c>
      <c r="H19" s="30">
        <f t="shared" si="2"/>
        <v>1.2</v>
      </c>
      <c r="I19" s="31">
        <f t="shared" si="3"/>
        <v>0.4444444444</v>
      </c>
    </row>
    <row r="20" ht="22.5" customHeight="1">
      <c r="A20" s="34">
        <v>46031.0</v>
      </c>
      <c r="B20" s="2" t="s">
        <v>129</v>
      </c>
      <c r="C20" s="2" t="s">
        <v>221</v>
      </c>
      <c r="D20" s="2" t="s">
        <v>222</v>
      </c>
      <c r="E20" s="2">
        <v>3.25</v>
      </c>
      <c r="F20" s="2">
        <v>6.8</v>
      </c>
      <c r="G20" s="30">
        <f t="shared" si="1"/>
        <v>5.025</v>
      </c>
      <c r="H20" s="30">
        <f t="shared" si="2"/>
        <v>3.55</v>
      </c>
      <c r="I20" s="31">
        <f t="shared" si="3"/>
        <v>0.7064676617</v>
      </c>
    </row>
    <row r="21" ht="22.5" customHeight="1">
      <c r="A21" s="34">
        <v>46031.0</v>
      </c>
      <c r="B21" s="2" t="s">
        <v>129</v>
      </c>
      <c r="C21" s="2" t="s">
        <v>223</v>
      </c>
      <c r="D21" s="2" t="s">
        <v>222</v>
      </c>
      <c r="E21" s="2">
        <v>3.2</v>
      </c>
      <c r="F21" s="2">
        <v>6.95</v>
      </c>
      <c r="G21" s="30">
        <f t="shared" si="1"/>
        <v>5.075</v>
      </c>
      <c r="H21" s="30">
        <f t="shared" si="2"/>
        <v>3.75</v>
      </c>
      <c r="I21" s="31">
        <f t="shared" si="3"/>
        <v>0.7389162562</v>
      </c>
    </row>
    <row r="22" ht="22.5" customHeight="1">
      <c r="A22" s="34">
        <v>46031.0</v>
      </c>
      <c r="B22" s="2" t="s">
        <v>129</v>
      </c>
      <c r="C22" s="2" t="s">
        <v>224</v>
      </c>
      <c r="D22" s="2" t="s">
        <v>222</v>
      </c>
      <c r="E22" s="2">
        <v>3.0</v>
      </c>
      <c r="F22" s="2">
        <v>5.5</v>
      </c>
      <c r="G22" s="30">
        <f t="shared" si="1"/>
        <v>4.25</v>
      </c>
      <c r="H22" s="30">
        <f t="shared" si="2"/>
        <v>2.5</v>
      </c>
      <c r="I22" s="31">
        <f t="shared" si="3"/>
        <v>0.5882352941</v>
      </c>
    </row>
    <row r="23" ht="22.5" customHeight="1">
      <c r="A23" s="34">
        <v>46031.0</v>
      </c>
      <c r="B23" s="2" t="s">
        <v>129</v>
      </c>
      <c r="C23" s="2" t="s">
        <v>225</v>
      </c>
      <c r="D23" s="2" t="s">
        <v>222</v>
      </c>
      <c r="E23" s="2">
        <v>2.9</v>
      </c>
      <c r="F23" s="2">
        <v>5.1</v>
      </c>
      <c r="G23" s="30">
        <f t="shared" si="1"/>
        <v>4</v>
      </c>
      <c r="H23" s="30">
        <f t="shared" si="2"/>
        <v>2.2</v>
      </c>
      <c r="I23" s="31">
        <f t="shared" si="3"/>
        <v>0.55</v>
      </c>
    </row>
    <row r="24" ht="22.5" customHeight="1">
      <c r="A24" s="34">
        <v>46031.0</v>
      </c>
      <c r="B24" s="2" t="s">
        <v>129</v>
      </c>
      <c r="C24" s="2" t="s">
        <v>226</v>
      </c>
      <c r="D24" s="2" t="s">
        <v>222</v>
      </c>
      <c r="E24" s="2">
        <v>2.8</v>
      </c>
      <c r="F24" s="2">
        <v>4.42</v>
      </c>
      <c r="G24" s="30">
        <f t="shared" si="1"/>
        <v>3.61</v>
      </c>
      <c r="H24" s="30">
        <f t="shared" si="2"/>
        <v>1.62</v>
      </c>
      <c r="I24" s="31">
        <f t="shared" si="3"/>
        <v>0.4487534626</v>
      </c>
    </row>
    <row r="25" ht="22.5" customHeight="1">
      <c r="A25" s="34">
        <v>46031.0</v>
      </c>
      <c r="B25" s="2" t="s">
        <v>129</v>
      </c>
      <c r="C25" s="2" t="s">
        <v>227</v>
      </c>
      <c r="D25" s="2" t="s">
        <v>222</v>
      </c>
      <c r="E25" s="2">
        <v>2.0</v>
      </c>
      <c r="F25" s="2">
        <v>3.62</v>
      </c>
      <c r="G25" s="30">
        <f t="shared" si="1"/>
        <v>2.81</v>
      </c>
      <c r="H25" s="30">
        <f t="shared" si="2"/>
        <v>1.62</v>
      </c>
      <c r="I25" s="31">
        <f t="shared" si="3"/>
        <v>0.5765124555</v>
      </c>
    </row>
    <row r="26" ht="22.5" customHeight="1">
      <c r="A26" s="34">
        <v>46031.0</v>
      </c>
      <c r="B26" s="2" t="s">
        <v>129</v>
      </c>
      <c r="C26" s="2" t="s">
        <v>228</v>
      </c>
      <c r="D26" s="2" t="s">
        <v>222</v>
      </c>
      <c r="E26" s="2">
        <v>2.0</v>
      </c>
      <c r="F26" s="2">
        <v>3.47</v>
      </c>
      <c r="G26" s="30">
        <f t="shared" si="1"/>
        <v>2.735</v>
      </c>
      <c r="H26" s="30">
        <f t="shared" si="2"/>
        <v>1.47</v>
      </c>
      <c r="I26" s="31">
        <f t="shared" si="3"/>
        <v>0.5374771481</v>
      </c>
    </row>
    <row r="27" ht="22.5" customHeight="1">
      <c r="A27" s="34">
        <v>46031.0</v>
      </c>
      <c r="B27" s="2" t="s">
        <v>129</v>
      </c>
      <c r="C27" s="2" t="s">
        <v>229</v>
      </c>
      <c r="D27" s="2" t="s">
        <v>222</v>
      </c>
      <c r="E27" s="2">
        <v>1.65</v>
      </c>
      <c r="F27" s="2">
        <v>3.0</v>
      </c>
      <c r="G27" s="30">
        <f t="shared" si="1"/>
        <v>2.325</v>
      </c>
      <c r="H27" s="30">
        <f t="shared" si="2"/>
        <v>1.35</v>
      </c>
      <c r="I27" s="31">
        <f t="shared" si="3"/>
        <v>0.5806451613</v>
      </c>
    </row>
    <row r="28" ht="22.5" customHeight="1">
      <c r="A28" s="35">
        <v>46038.0</v>
      </c>
      <c r="B28" s="21" t="s">
        <v>136</v>
      </c>
      <c r="C28" s="21" t="s">
        <v>210</v>
      </c>
      <c r="D28" s="21"/>
      <c r="E28" s="21">
        <v>0.8</v>
      </c>
      <c r="F28" s="21">
        <v>1.39</v>
      </c>
      <c r="G28" s="30">
        <f t="shared" si="1"/>
        <v>1.095</v>
      </c>
      <c r="H28" s="30">
        <f t="shared" si="2"/>
        <v>0.59</v>
      </c>
      <c r="I28" s="31">
        <f t="shared" si="3"/>
        <v>0.5388127854</v>
      </c>
    </row>
    <row r="29" ht="22.5" customHeight="1">
      <c r="A29" s="35">
        <v>46038.0</v>
      </c>
      <c r="B29" s="21" t="s">
        <v>136</v>
      </c>
      <c r="C29" s="21" t="s">
        <v>211</v>
      </c>
      <c r="D29" s="21"/>
      <c r="E29" s="21">
        <v>1.3</v>
      </c>
      <c r="F29" s="21">
        <v>1.54</v>
      </c>
      <c r="G29" s="30">
        <f t="shared" si="1"/>
        <v>1.42</v>
      </c>
      <c r="H29" s="30">
        <f t="shared" si="2"/>
        <v>0.24</v>
      </c>
      <c r="I29" s="31">
        <f t="shared" si="3"/>
        <v>0.1690140845</v>
      </c>
    </row>
    <row r="30" ht="22.5" customHeight="1">
      <c r="A30" s="35">
        <v>46038.0</v>
      </c>
      <c r="B30" s="21" t="s">
        <v>136</v>
      </c>
      <c r="C30" s="21" t="s">
        <v>212</v>
      </c>
      <c r="D30" s="21"/>
      <c r="E30" s="21">
        <v>1.55</v>
      </c>
      <c r="F30" s="21">
        <v>1.82</v>
      </c>
      <c r="G30" s="30">
        <f t="shared" si="1"/>
        <v>1.685</v>
      </c>
      <c r="H30" s="30">
        <f t="shared" si="2"/>
        <v>0.27</v>
      </c>
      <c r="I30" s="31">
        <f t="shared" si="3"/>
        <v>0.1602373887</v>
      </c>
    </row>
    <row r="31" ht="22.5" customHeight="1">
      <c r="A31" s="35">
        <v>46038.0</v>
      </c>
      <c r="B31" s="21" t="s">
        <v>213</v>
      </c>
      <c r="C31" s="21" t="s">
        <v>214</v>
      </c>
      <c r="D31" s="21"/>
      <c r="E31" s="21">
        <v>1.67</v>
      </c>
      <c r="F31" s="21">
        <v>1.86</v>
      </c>
      <c r="G31" s="30">
        <f t="shared" si="1"/>
        <v>1.765</v>
      </c>
      <c r="H31" s="30">
        <f t="shared" si="2"/>
        <v>0.19</v>
      </c>
      <c r="I31" s="31">
        <f t="shared" si="3"/>
        <v>0.1076487252</v>
      </c>
    </row>
    <row r="32" ht="22.5" customHeight="1">
      <c r="A32" s="35">
        <v>46038.0</v>
      </c>
      <c r="B32" s="21" t="s">
        <v>213</v>
      </c>
      <c r="C32" s="21" t="s">
        <v>215</v>
      </c>
      <c r="D32" s="21"/>
      <c r="E32" s="21">
        <v>1.94</v>
      </c>
      <c r="F32" s="21">
        <v>1.94</v>
      </c>
      <c r="G32" s="30">
        <f t="shared" si="1"/>
        <v>1.94</v>
      </c>
      <c r="H32" s="30">
        <f t="shared" si="2"/>
        <v>0</v>
      </c>
      <c r="I32" s="31">
        <f t="shared" si="3"/>
        <v>0</v>
      </c>
    </row>
    <row r="33" ht="22.5" customHeight="1">
      <c r="A33" s="35">
        <v>46038.0</v>
      </c>
      <c r="B33" s="21" t="s">
        <v>213</v>
      </c>
      <c r="C33" s="21" t="s">
        <v>216</v>
      </c>
      <c r="D33" s="21"/>
      <c r="E33" s="21">
        <v>1.31</v>
      </c>
      <c r="F33" s="21">
        <v>1.65</v>
      </c>
      <c r="G33" s="30">
        <f t="shared" si="1"/>
        <v>1.48</v>
      </c>
      <c r="H33" s="30">
        <f t="shared" si="2"/>
        <v>0.34</v>
      </c>
      <c r="I33" s="31">
        <f t="shared" si="3"/>
        <v>0.2297297297</v>
      </c>
    </row>
    <row r="34" ht="22.5" customHeight="1">
      <c r="A34" s="35">
        <v>46038.0</v>
      </c>
      <c r="B34" s="21" t="s">
        <v>133</v>
      </c>
      <c r="C34" s="21" t="s">
        <v>217</v>
      </c>
      <c r="D34" s="21"/>
      <c r="E34" s="21">
        <v>4000.0</v>
      </c>
      <c r="F34" s="21">
        <v>5500.0</v>
      </c>
      <c r="G34" s="30">
        <f t="shared" si="1"/>
        <v>4750</v>
      </c>
      <c r="H34" s="30">
        <f t="shared" si="2"/>
        <v>1500</v>
      </c>
      <c r="I34" s="31">
        <f t="shared" si="3"/>
        <v>0.3157894737</v>
      </c>
    </row>
    <row r="35" ht="22.5" customHeight="1">
      <c r="A35" s="35">
        <v>46038.0</v>
      </c>
      <c r="B35" s="21" t="s">
        <v>133</v>
      </c>
      <c r="C35" s="21" t="s">
        <v>218</v>
      </c>
      <c r="D35" s="21"/>
      <c r="E35" s="21">
        <v>2500.0</v>
      </c>
      <c r="F35" s="21">
        <v>4000.0</v>
      </c>
      <c r="G35" s="30">
        <f t="shared" si="1"/>
        <v>3250</v>
      </c>
      <c r="H35" s="30">
        <f t="shared" si="2"/>
        <v>1500</v>
      </c>
      <c r="I35" s="31">
        <f t="shared" si="3"/>
        <v>0.4615384615</v>
      </c>
    </row>
    <row r="36" ht="22.5" customHeight="1">
      <c r="A36" s="35">
        <v>46038.0</v>
      </c>
      <c r="B36" s="21" t="s">
        <v>133</v>
      </c>
      <c r="C36" s="21" t="s">
        <v>219</v>
      </c>
      <c r="D36" s="21"/>
      <c r="E36" s="21">
        <v>2800.0</v>
      </c>
      <c r="F36" s="21">
        <v>4400.0</v>
      </c>
      <c r="G36" s="30">
        <f t="shared" si="1"/>
        <v>3600</v>
      </c>
      <c r="H36" s="30">
        <f t="shared" si="2"/>
        <v>1600</v>
      </c>
      <c r="I36" s="31">
        <f t="shared" si="3"/>
        <v>0.4444444444</v>
      </c>
    </row>
    <row r="37" ht="22.5" customHeight="1">
      <c r="A37" s="35">
        <v>46038.0</v>
      </c>
      <c r="B37" s="21" t="s">
        <v>133</v>
      </c>
      <c r="C37" s="21" t="s">
        <v>220</v>
      </c>
      <c r="D37" s="21"/>
      <c r="E37" s="21">
        <v>1750.0</v>
      </c>
      <c r="F37" s="21">
        <v>2500.0</v>
      </c>
      <c r="G37" s="30">
        <f t="shared" si="1"/>
        <v>2125</v>
      </c>
      <c r="H37" s="30">
        <f t="shared" si="2"/>
        <v>750</v>
      </c>
      <c r="I37" s="31">
        <f t="shared" si="3"/>
        <v>0.3529411765</v>
      </c>
    </row>
    <row r="38" ht="22.5" customHeight="1">
      <c r="A38" s="35">
        <v>46038.0</v>
      </c>
      <c r="B38" s="21" t="s">
        <v>120</v>
      </c>
      <c r="C38" s="21" t="s">
        <v>221</v>
      </c>
      <c r="D38" s="21" t="s">
        <v>222</v>
      </c>
      <c r="E38" s="21">
        <v>4.5</v>
      </c>
      <c r="F38" s="21">
        <v>6.9</v>
      </c>
      <c r="G38" s="30">
        <f t="shared" si="1"/>
        <v>5.7</v>
      </c>
      <c r="H38" s="30">
        <f t="shared" si="2"/>
        <v>2.4</v>
      </c>
      <c r="I38" s="31">
        <f t="shared" si="3"/>
        <v>0.4210526316</v>
      </c>
    </row>
    <row r="39" ht="22.5" customHeight="1">
      <c r="A39" s="35">
        <v>46038.0</v>
      </c>
      <c r="B39" s="21" t="s">
        <v>120</v>
      </c>
      <c r="C39" s="21" t="s">
        <v>223</v>
      </c>
      <c r="D39" s="21" t="s">
        <v>222</v>
      </c>
      <c r="E39" s="21">
        <v>3.9</v>
      </c>
      <c r="F39" s="21">
        <v>6.65</v>
      </c>
      <c r="G39" s="30">
        <f t="shared" si="1"/>
        <v>5.275</v>
      </c>
      <c r="H39" s="30">
        <f t="shared" si="2"/>
        <v>2.75</v>
      </c>
      <c r="I39" s="31">
        <f t="shared" si="3"/>
        <v>0.5213270142</v>
      </c>
    </row>
    <row r="40" ht="22.5" customHeight="1">
      <c r="A40" s="35">
        <v>46038.0</v>
      </c>
      <c r="B40" s="21" t="s">
        <v>120</v>
      </c>
      <c r="C40" s="21" t="s">
        <v>224</v>
      </c>
      <c r="D40" s="21" t="s">
        <v>222</v>
      </c>
      <c r="E40" s="21">
        <v>3.25</v>
      </c>
      <c r="F40" s="21">
        <v>6.1</v>
      </c>
      <c r="G40" s="30">
        <f t="shared" si="1"/>
        <v>4.675</v>
      </c>
      <c r="H40" s="30">
        <f t="shared" si="2"/>
        <v>2.85</v>
      </c>
      <c r="I40" s="31">
        <f t="shared" si="3"/>
        <v>0.6096256684</v>
      </c>
    </row>
    <row r="41" ht="22.5" customHeight="1">
      <c r="A41" s="35">
        <v>46038.0</v>
      </c>
      <c r="B41" s="21" t="s">
        <v>120</v>
      </c>
      <c r="C41" s="21" t="s">
        <v>225</v>
      </c>
      <c r="D41" s="21" t="s">
        <v>222</v>
      </c>
      <c r="E41" s="21">
        <v>3.0</v>
      </c>
      <c r="F41" s="21">
        <v>5.55</v>
      </c>
      <c r="G41" s="30">
        <f t="shared" si="1"/>
        <v>4.275</v>
      </c>
      <c r="H41" s="30">
        <f t="shared" si="2"/>
        <v>2.55</v>
      </c>
      <c r="I41" s="31">
        <f t="shared" si="3"/>
        <v>0.5964912281</v>
      </c>
    </row>
    <row r="42" ht="22.5" customHeight="1">
      <c r="A42" s="35">
        <v>46038.0</v>
      </c>
      <c r="B42" s="21" t="s">
        <v>120</v>
      </c>
      <c r="C42" s="21" t="s">
        <v>226</v>
      </c>
      <c r="D42" s="21" t="s">
        <v>222</v>
      </c>
      <c r="E42" s="21">
        <v>2.85</v>
      </c>
      <c r="F42" s="21">
        <v>4.8</v>
      </c>
      <c r="G42" s="30">
        <f t="shared" si="1"/>
        <v>3.825</v>
      </c>
      <c r="H42" s="30">
        <f t="shared" si="2"/>
        <v>1.95</v>
      </c>
      <c r="I42" s="31">
        <f t="shared" si="3"/>
        <v>0.5098039216</v>
      </c>
    </row>
    <row r="43" ht="22.5" customHeight="1">
      <c r="A43" s="35">
        <v>46038.0</v>
      </c>
      <c r="B43" s="21" t="s">
        <v>120</v>
      </c>
      <c r="C43" s="21" t="s">
        <v>227</v>
      </c>
      <c r="D43" s="21" t="s">
        <v>222</v>
      </c>
      <c r="E43" s="21">
        <v>2.55</v>
      </c>
      <c r="F43" s="21">
        <v>4.4</v>
      </c>
      <c r="G43" s="30">
        <f t="shared" si="1"/>
        <v>3.475</v>
      </c>
      <c r="H43" s="30">
        <f t="shared" si="2"/>
        <v>1.85</v>
      </c>
      <c r="I43" s="31">
        <f t="shared" si="3"/>
        <v>0.5323741007</v>
      </c>
    </row>
    <row r="44" ht="22.5" customHeight="1">
      <c r="A44" s="35">
        <v>46038.0</v>
      </c>
      <c r="B44" s="21" t="s">
        <v>120</v>
      </c>
      <c r="C44" s="21" t="s">
        <v>228</v>
      </c>
      <c r="D44" s="21" t="s">
        <v>222</v>
      </c>
      <c r="E44" s="21">
        <v>2.0</v>
      </c>
      <c r="F44" s="21">
        <v>4.0</v>
      </c>
      <c r="G44" s="30">
        <f t="shared" si="1"/>
        <v>3</v>
      </c>
      <c r="H44" s="30">
        <f t="shared" si="2"/>
        <v>2</v>
      </c>
      <c r="I44" s="31">
        <f t="shared" si="3"/>
        <v>0.6666666667</v>
      </c>
    </row>
    <row r="45" ht="22.5" customHeight="1">
      <c r="A45" s="35">
        <v>46038.0</v>
      </c>
      <c r="B45" s="21" t="s">
        <v>120</v>
      </c>
      <c r="C45" s="21" t="s">
        <v>229</v>
      </c>
      <c r="D45" s="21" t="s">
        <v>222</v>
      </c>
      <c r="E45" s="21">
        <v>2.1</v>
      </c>
      <c r="F45" s="21">
        <v>2.47</v>
      </c>
      <c r="G45" s="30">
        <f t="shared" si="1"/>
        <v>2.285</v>
      </c>
      <c r="H45" s="30">
        <f t="shared" si="2"/>
        <v>0.37</v>
      </c>
      <c r="I45" s="31">
        <f t="shared" si="3"/>
        <v>0.1619256018</v>
      </c>
    </row>
    <row r="46" ht="22.5" customHeight="1">
      <c r="A46" s="35">
        <v>46038.0</v>
      </c>
      <c r="B46" s="21" t="s">
        <v>129</v>
      </c>
      <c r="C46" s="21" t="s">
        <v>221</v>
      </c>
      <c r="D46" s="21" t="s">
        <v>222</v>
      </c>
      <c r="E46" s="21">
        <v>3.25</v>
      </c>
      <c r="F46" s="21">
        <v>6.8</v>
      </c>
      <c r="G46" s="30">
        <f t="shared" si="1"/>
        <v>5.025</v>
      </c>
      <c r="H46" s="30">
        <f t="shared" si="2"/>
        <v>3.55</v>
      </c>
      <c r="I46" s="31">
        <f t="shared" si="3"/>
        <v>0.7064676617</v>
      </c>
    </row>
    <row r="47" ht="22.5" customHeight="1">
      <c r="A47" s="35">
        <v>46038.0</v>
      </c>
      <c r="B47" s="21" t="s">
        <v>129</v>
      </c>
      <c r="C47" s="21" t="s">
        <v>223</v>
      </c>
      <c r="D47" s="21" t="s">
        <v>222</v>
      </c>
      <c r="E47" s="21">
        <v>3.2</v>
      </c>
      <c r="F47" s="21">
        <v>6.5</v>
      </c>
      <c r="G47" s="30">
        <f t="shared" si="1"/>
        <v>4.85</v>
      </c>
      <c r="H47" s="30">
        <f t="shared" si="2"/>
        <v>3.3</v>
      </c>
      <c r="I47" s="31">
        <f t="shared" si="3"/>
        <v>0.6804123711</v>
      </c>
    </row>
    <row r="48" ht="22.5" customHeight="1">
      <c r="A48" s="35">
        <v>46038.0</v>
      </c>
      <c r="B48" s="21" t="s">
        <v>129</v>
      </c>
      <c r="C48" s="21" t="s">
        <v>224</v>
      </c>
      <c r="D48" s="21" t="s">
        <v>222</v>
      </c>
      <c r="E48" s="21">
        <v>3.0</v>
      </c>
      <c r="F48" s="21">
        <v>5.6</v>
      </c>
      <c r="G48" s="30">
        <f t="shared" si="1"/>
        <v>4.3</v>
      </c>
      <c r="H48" s="30">
        <f t="shared" si="2"/>
        <v>2.6</v>
      </c>
      <c r="I48" s="31">
        <f t="shared" si="3"/>
        <v>0.6046511628</v>
      </c>
    </row>
    <row r="49" ht="22.5" customHeight="1">
      <c r="A49" s="35">
        <v>46038.0</v>
      </c>
      <c r="B49" s="21" t="s">
        <v>129</v>
      </c>
      <c r="C49" s="21" t="s">
        <v>225</v>
      </c>
      <c r="D49" s="21" t="s">
        <v>222</v>
      </c>
      <c r="E49" s="21">
        <v>2.9</v>
      </c>
      <c r="F49" s="21">
        <v>5.05</v>
      </c>
      <c r="G49" s="30">
        <f t="shared" si="1"/>
        <v>3.975</v>
      </c>
      <c r="H49" s="30">
        <f t="shared" si="2"/>
        <v>2.15</v>
      </c>
      <c r="I49" s="31">
        <f t="shared" si="3"/>
        <v>0.5408805031</v>
      </c>
    </row>
    <row r="50" ht="22.5" customHeight="1">
      <c r="A50" s="35">
        <v>46038.0</v>
      </c>
      <c r="B50" s="21" t="s">
        <v>129</v>
      </c>
      <c r="C50" s="21" t="s">
        <v>226</v>
      </c>
      <c r="D50" s="21" t="s">
        <v>222</v>
      </c>
      <c r="E50" s="21">
        <v>2.8</v>
      </c>
      <c r="F50" s="21">
        <v>4.7</v>
      </c>
      <c r="G50" s="30">
        <f t="shared" si="1"/>
        <v>3.75</v>
      </c>
      <c r="H50" s="30">
        <f t="shared" si="2"/>
        <v>1.9</v>
      </c>
      <c r="I50" s="31">
        <f t="shared" si="3"/>
        <v>0.5066666667</v>
      </c>
    </row>
    <row r="51" ht="22.5" customHeight="1">
      <c r="A51" s="35">
        <v>46038.0</v>
      </c>
      <c r="B51" s="21" t="s">
        <v>129</v>
      </c>
      <c r="C51" s="21" t="s">
        <v>227</v>
      </c>
      <c r="D51" s="21" t="s">
        <v>222</v>
      </c>
      <c r="E51" s="21">
        <v>2.0</v>
      </c>
      <c r="F51" s="21">
        <v>3.75</v>
      </c>
      <c r="G51" s="30">
        <f t="shared" si="1"/>
        <v>2.875</v>
      </c>
      <c r="H51" s="30">
        <f t="shared" si="2"/>
        <v>1.75</v>
      </c>
      <c r="I51" s="31">
        <f t="shared" si="3"/>
        <v>0.6086956522</v>
      </c>
    </row>
    <row r="52" ht="22.5" customHeight="1">
      <c r="A52" s="35">
        <v>46038.0</v>
      </c>
      <c r="B52" s="21" t="s">
        <v>129</v>
      </c>
      <c r="C52" s="21" t="s">
        <v>228</v>
      </c>
      <c r="D52" s="21" t="s">
        <v>222</v>
      </c>
      <c r="E52" s="21">
        <v>2.0</v>
      </c>
      <c r="F52" s="21">
        <v>3.27</v>
      </c>
      <c r="G52" s="30">
        <f t="shared" si="1"/>
        <v>2.635</v>
      </c>
      <c r="H52" s="30">
        <f t="shared" si="2"/>
        <v>1.27</v>
      </c>
      <c r="I52" s="31">
        <f t="shared" si="3"/>
        <v>0.4819734345</v>
      </c>
    </row>
    <row r="53" ht="22.5" customHeight="1">
      <c r="A53" s="35">
        <v>46038.0</v>
      </c>
      <c r="B53" s="21" t="s">
        <v>129</v>
      </c>
      <c r="C53" s="21" t="s">
        <v>229</v>
      </c>
      <c r="D53" s="21" t="s">
        <v>222</v>
      </c>
      <c r="E53" s="21">
        <v>1.65</v>
      </c>
      <c r="F53" s="21">
        <v>3.0</v>
      </c>
      <c r="G53" s="30">
        <f t="shared" si="1"/>
        <v>2.325</v>
      </c>
      <c r="H53" s="30">
        <f t="shared" si="2"/>
        <v>1.35</v>
      </c>
      <c r="I53" s="31">
        <f t="shared" si="3"/>
        <v>0.5806451613</v>
      </c>
    </row>
    <row r="54" ht="22.5" customHeight="1">
      <c r="A54" s="35">
        <v>46045.0</v>
      </c>
      <c r="B54" s="21" t="s">
        <v>136</v>
      </c>
      <c r="C54" s="21" t="s">
        <v>210</v>
      </c>
      <c r="D54" s="21"/>
      <c r="E54" s="21">
        <v>0.8</v>
      </c>
      <c r="F54" s="21">
        <v>1.39</v>
      </c>
      <c r="G54" s="30">
        <f t="shared" si="1"/>
        <v>1.095</v>
      </c>
      <c r="H54" s="30">
        <f t="shared" si="2"/>
        <v>0.59</v>
      </c>
      <c r="I54" s="31">
        <f t="shared" si="3"/>
        <v>0.5388127854</v>
      </c>
    </row>
    <row r="55" ht="22.5" customHeight="1">
      <c r="A55" s="35">
        <v>46045.0</v>
      </c>
      <c r="B55" s="21" t="s">
        <v>136</v>
      </c>
      <c r="C55" s="21" t="s">
        <v>211</v>
      </c>
      <c r="D55" s="21"/>
      <c r="E55" s="21">
        <v>1.3</v>
      </c>
      <c r="F55" s="21">
        <v>1.54</v>
      </c>
      <c r="G55" s="30">
        <f t="shared" si="1"/>
        <v>1.42</v>
      </c>
      <c r="H55" s="30">
        <f t="shared" si="2"/>
        <v>0.24</v>
      </c>
      <c r="I55" s="31">
        <f t="shared" si="3"/>
        <v>0.1690140845</v>
      </c>
    </row>
    <row r="56" ht="22.5" customHeight="1">
      <c r="A56" s="35">
        <v>46045.0</v>
      </c>
      <c r="B56" s="21" t="s">
        <v>136</v>
      </c>
      <c r="C56" s="21" t="s">
        <v>212</v>
      </c>
      <c r="D56" s="21"/>
      <c r="E56" s="21">
        <v>1.55</v>
      </c>
      <c r="F56" s="21">
        <v>1.71</v>
      </c>
      <c r="G56" s="30">
        <f t="shared" si="1"/>
        <v>1.63</v>
      </c>
      <c r="H56" s="30">
        <f t="shared" si="2"/>
        <v>0.16</v>
      </c>
      <c r="I56" s="31">
        <f t="shared" si="3"/>
        <v>0.0981595092</v>
      </c>
    </row>
    <row r="57" ht="22.5" customHeight="1">
      <c r="A57" s="35">
        <v>46045.0</v>
      </c>
      <c r="B57" s="21" t="s">
        <v>213</v>
      </c>
      <c r="C57" s="21" t="s">
        <v>214</v>
      </c>
      <c r="D57" s="21"/>
      <c r="E57" s="21">
        <v>1.67</v>
      </c>
      <c r="F57" s="21">
        <v>1.86</v>
      </c>
      <c r="G57" s="30">
        <f t="shared" si="1"/>
        <v>1.765</v>
      </c>
      <c r="H57" s="30">
        <f t="shared" si="2"/>
        <v>0.19</v>
      </c>
      <c r="I57" s="31">
        <f t="shared" si="3"/>
        <v>0.1076487252</v>
      </c>
    </row>
    <row r="58" ht="22.5" customHeight="1">
      <c r="A58" s="35">
        <v>46045.0</v>
      </c>
      <c r="B58" s="21" t="s">
        <v>213</v>
      </c>
      <c r="C58" s="21" t="s">
        <v>215</v>
      </c>
      <c r="D58" s="21"/>
      <c r="E58" s="21">
        <v>1.91</v>
      </c>
      <c r="F58" s="21">
        <v>1.91</v>
      </c>
      <c r="G58" s="30">
        <f t="shared" si="1"/>
        <v>1.91</v>
      </c>
      <c r="H58" s="30">
        <f t="shared" si="2"/>
        <v>0</v>
      </c>
      <c r="I58" s="31">
        <f t="shared" si="3"/>
        <v>0</v>
      </c>
    </row>
    <row r="59" ht="22.5" customHeight="1">
      <c r="A59" s="35">
        <v>46045.0</v>
      </c>
      <c r="B59" s="21" t="s">
        <v>213</v>
      </c>
      <c r="C59" s="21" t="s">
        <v>216</v>
      </c>
      <c r="D59" s="21"/>
      <c r="E59" s="21">
        <v>1.31</v>
      </c>
      <c r="F59" s="21">
        <v>1.65</v>
      </c>
      <c r="G59" s="30">
        <f t="shared" si="1"/>
        <v>1.48</v>
      </c>
      <c r="H59" s="30">
        <f t="shared" si="2"/>
        <v>0.34</v>
      </c>
      <c r="I59" s="31">
        <f t="shared" si="3"/>
        <v>0.2297297297</v>
      </c>
    </row>
    <row r="60" ht="22.5" customHeight="1">
      <c r="A60" s="35">
        <v>46045.0</v>
      </c>
      <c r="B60" s="21" t="s">
        <v>133</v>
      </c>
      <c r="C60" s="21" t="s">
        <v>217</v>
      </c>
      <c r="D60" s="21"/>
      <c r="E60" s="21">
        <v>4000.0</v>
      </c>
      <c r="F60" s="21">
        <v>5500.0</v>
      </c>
      <c r="G60" s="30">
        <f t="shared" si="1"/>
        <v>4750</v>
      </c>
      <c r="H60" s="30">
        <f t="shared" si="2"/>
        <v>1500</v>
      </c>
      <c r="I60" s="31">
        <f t="shared" si="3"/>
        <v>0.3157894737</v>
      </c>
    </row>
    <row r="61" ht="22.5" customHeight="1">
      <c r="A61" s="35">
        <v>46045.0</v>
      </c>
      <c r="B61" s="21" t="s">
        <v>133</v>
      </c>
      <c r="C61" s="21" t="s">
        <v>218</v>
      </c>
      <c r="D61" s="21"/>
      <c r="E61" s="21">
        <v>2500.0</v>
      </c>
      <c r="F61" s="21">
        <v>4000.0</v>
      </c>
      <c r="G61" s="30">
        <f t="shared" si="1"/>
        <v>3250</v>
      </c>
      <c r="H61" s="30">
        <f t="shared" si="2"/>
        <v>1500</v>
      </c>
      <c r="I61" s="31">
        <f t="shared" si="3"/>
        <v>0.4615384615</v>
      </c>
    </row>
    <row r="62" ht="22.5" customHeight="1">
      <c r="A62" s="35">
        <v>46045.0</v>
      </c>
      <c r="B62" s="21" t="s">
        <v>133</v>
      </c>
      <c r="C62" s="21" t="s">
        <v>219</v>
      </c>
      <c r="D62" s="21"/>
      <c r="E62" s="21">
        <v>3400.0</v>
      </c>
      <c r="F62" s="21">
        <v>4400.0</v>
      </c>
      <c r="G62" s="30">
        <f t="shared" si="1"/>
        <v>3900</v>
      </c>
      <c r="H62" s="30">
        <f t="shared" si="2"/>
        <v>1000</v>
      </c>
      <c r="I62" s="31">
        <f t="shared" si="3"/>
        <v>0.2564102564</v>
      </c>
    </row>
    <row r="63" ht="22.5" customHeight="1">
      <c r="A63" s="35">
        <v>46045.0</v>
      </c>
      <c r="B63" s="21" t="s">
        <v>133</v>
      </c>
      <c r="C63" s="21" t="s">
        <v>220</v>
      </c>
      <c r="D63" s="21"/>
      <c r="E63" s="21">
        <v>1750.0</v>
      </c>
      <c r="F63" s="21">
        <v>3000.0</v>
      </c>
      <c r="G63" s="30">
        <f t="shared" si="1"/>
        <v>2375</v>
      </c>
      <c r="H63" s="30">
        <f t="shared" si="2"/>
        <v>1250</v>
      </c>
      <c r="I63" s="31">
        <f t="shared" si="3"/>
        <v>0.5263157895</v>
      </c>
    </row>
    <row r="64" ht="22.5" customHeight="1">
      <c r="A64" s="35">
        <v>46045.0</v>
      </c>
      <c r="B64" s="21" t="s">
        <v>120</v>
      </c>
      <c r="C64" s="21" t="s">
        <v>221</v>
      </c>
      <c r="D64" s="21" t="s">
        <v>222</v>
      </c>
      <c r="E64" s="21">
        <v>4.5</v>
      </c>
      <c r="F64" s="21">
        <v>6.9</v>
      </c>
      <c r="G64" s="30">
        <f t="shared" si="1"/>
        <v>5.7</v>
      </c>
      <c r="H64" s="30">
        <f t="shared" si="2"/>
        <v>2.4</v>
      </c>
      <c r="I64" s="31">
        <f t="shared" si="3"/>
        <v>0.4210526316</v>
      </c>
    </row>
    <row r="65" ht="22.5" customHeight="1">
      <c r="A65" s="35">
        <v>46045.0</v>
      </c>
      <c r="B65" s="21" t="s">
        <v>120</v>
      </c>
      <c r="C65" s="21" t="s">
        <v>223</v>
      </c>
      <c r="D65" s="21" t="s">
        <v>222</v>
      </c>
      <c r="E65" s="21">
        <v>3.9</v>
      </c>
      <c r="F65" s="21">
        <v>6.1</v>
      </c>
      <c r="G65" s="30">
        <f t="shared" si="1"/>
        <v>5</v>
      </c>
      <c r="H65" s="30">
        <f t="shared" si="2"/>
        <v>2.2</v>
      </c>
      <c r="I65" s="31">
        <f t="shared" si="3"/>
        <v>0.44</v>
      </c>
    </row>
    <row r="66" ht="22.5" customHeight="1">
      <c r="A66" s="35">
        <v>46045.0</v>
      </c>
      <c r="B66" s="21" t="s">
        <v>120</v>
      </c>
      <c r="C66" s="21" t="s">
        <v>224</v>
      </c>
      <c r="D66" s="21" t="s">
        <v>222</v>
      </c>
      <c r="E66" s="21">
        <v>3.25</v>
      </c>
      <c r="F66" s="21">
        <v>5.65</v>
      </c>
      <c r="G66" s="30">
        <f t="shared" si="1"/>
        <v>4.45</v>
      </c>
      <c r="H66" s="30">
        <f t="shared" si="2"/>
        <v>2.4</v>
      </c>
      <c r="I66" s="31">
        <f t="shared" si="3"/>
        <v>0.5393258427</v>
      </c>
    </row>
    <row r="67" ht="22.5" customHeight="1">
      <c r="A67" s="35">
        <v>46045.0</v>
      </c>
      <c r="B67" s="21" t="s">
        <v>120</v>
      </c>
      <c r="C67" s="21" t="s">
        <v>225</v>
      </c>
      <c r="D67" s="21" t="s">
        <v>222</v>
      </c>
      <c r="E67" s="21">
        <v>3.0</v>
      </c>
      <c r="F67" s="21">
        <v>5.3</v>
      </c>
      <c r="G67" s="30">
        <f t="shared" si="1"/>
        <v>4.15</v>
      </c>
      <c r="H67" s="30">
        <f t="shared" si="2"/>
        <v>2.3</v>
      </c>
      <c r="I67" s="31">
        <f t="shared" si="3"/>
        <v>0.5542168675</v>
      </c>
    </row>
    <row r="68" ht="22.5" customHeight="1">
      <c r="A68" s="35">
        <v>46045.0</v>
      </c>
      <c r="B68" s="21" t="s">
        <v>120</v>
      </c>
      <c r="C68" s="21" t="s">
        <v>226</v>
      </c>
      <c r="D68" s="21" t="s">
        <v>222</v>
      </c>
      <c r="E68" s="21">
        <v>2.85</v>
      </c>
      <c r="F68" s="21">
        <v>4.85</v>
      </c>
      <c r="G68" s="30">
        <f t="shared" si="1"/>
        <v>3.85</v>
      </c>
      <c r="H68" s="30">
        <f t="shared" si="2"/>
        <v>2</v>
      </c>
      <c r="I68" s="31">
        <f t="shared" si="3"/>
        <v>0.5194805195</v>
      </c>
    </row>
    <row r="69" ht="22.5" customHeight="1">
      <c r="A69" s="35">
        <v>46045.0</v>
      </c>
      <c r="B69" s="21" t="s">
        <v>120</v>
      </c>
      <c r="C69" s="21" t="s">
        <v>227</v>
      </c>
      <c r="D69" s="21" t="s">
        <v>222</v>
      </c>
      <c r="E69" s="21">
        <v>2.55</v>
      </c>
      <c r="F69" s="21">
        <v>4.45</v>
      </c>
      <c r="G69" s="30">
        <f t="shared" si="1"/>
        <v>3.5</v>
      </c>
      <c r="H69" s="30">
        <f t="shared" si="2"/>
        <v>1.9</v>
      </c>
      <c r="I69" s="31">
        <f t="shared" si="3"/>
        <v>0.5428571429</v>
      </c>
    </row>
    <row r="70" ht="22.5" customHeight="1">
      <c r="A70" s="35">
        <v>46045.0</v>
      </c>
      <c r="B70" s="21" t="s">
        <v>120</v>
      </c>
      <c r="C70" s="21" t="s">
        <v>228</v>
      </c>
      <c r="D70" s="21" t="s">
        <v>222</v>
      </c>
      <c r="E70" s="21">
        <v>2.0</v>
      </c>
      <c r="F70" s="21">
        <v>3.82</v>
      </c>
      <c r="G70" s="30">
        <f t="shared" si="1"/>
        <v>2.91</v>
      </c>
      <c r="H70" s="30">
        <f t="shared" si="2"/>
        <v>1.82</v>
      </c>
      <c r="I70" s="31">
        <f t="shared" si="3"/>
        <v>0.6254295533</v>
      </c>
    </row>
    <row r="71" ht="22.5" customHeight="1">
      <c r="A71" s="35">
        <v>46045.0</v>
      </c>
      <c r="B71" s="21" t="s">
        <v>120</v>
      </c>
      <c r="C71" s="21" t="s">
        <v>229</v>
      </c>
      <c r="D71" s="21" t="s">
        <v>222</v>
      </c>
      <c r="E71" s="21">
        <v>2.1</v>
      </c>
      <c r="F71" s="21">
        <v>2.47</v>
      </c>
      <c r="G71" s="30">
        <f t="shared" si="1"/>
        <v>2.285</v>
      </c>
      <c r="H71" s="30">
        <f t="shared" si="2"/>
        <v>0.37</v>
      </c>
      <c r="I71" s="31">
        <f t="shared" si="3"/>
        <v>0.1619256018</v>
      </c>
    </row>
    <row r="72" ht="22.5" customHeight="1">
      <c r="A72" s="35">
        <v>46045.0</v>
      </c>
      <c r="B72" s="21" t="s">
        <v>129</v>
      </c>
      <c r="C72" s="21" t="s">
        <v>221</v>
      </c>
      <c r="D72" s="21" t="s">
        <v>222</v>
      </c>
      <c r="E72" s="21">
        <v>3.25</v>
      </c>
      <c r="F72" s="21">
        <v>6.8</v>
      </c>
      <c r="G72" s="30">
        <f t="shared" si="1"/>
        <v>5.025</v>
      </c>
      <c r="H72" s="30">
        <f t="shared" si="2"/>
        <v>3.55</v>
      </c>
      <c r="I72" s="31">
        <f t="shared" si="3"/>
        <v>0.7064676617</v>
      </c>
    </row>
    <row r="73" ht="22.5" customHeight="1">
      <c r="A73" s="35">
        <v>46045.0</v>
      </c>
      <c r="B73" s="21" t="s">
        <v>129</v>
      </c>
      <c r="C73" s="21" t="s">
        <v>223</v>
      </c>
      <c r="D73" s="21" t="s">
        <v>222</v>
      </c>
      <c r="E73" s="21">
        <v>3.2</v>
      </c>
      <c r="F73" s="21">
        <v>5.85</v>
      </c>
      <c r="G73" s="30">
        <f t="shared" si="1"/>
        <v>4.525</v>
      </c>
      <c r="H73" s="30">
        <f t="shared" si="2"/>
        <v>2.65</v>
      </c>
      <c r="I73" s="31">
        <f t="shared" si="3"/>
        <v>0.5856353591</v>
      </c>
    </row>
    <row r="74" ht="22.5" customHeight="1">
      <c r="A74" s="35">
        <v>46045.0</v>
      </c>
      <c r="B74" s="21" t="s">
        <v>129</v>
      </c>
      <c r="C74" s="21" t="s">
        <v>224</v>
      </c>
      <c r="D74" s="21" t="s">
        <v>222</v>
      </c>
      <c r="E74" s="21">
        <v>3.0</v>
      </c>
      <c r="F74" s="21">
        <v>5.1</v>
      </c>
      <c r="G74" s="30">
        <f t="shared" si="1"/>
        <v>4.05</v>
      </c>
      <c r="H74" s="30">
        <f t="shared" si="2"/>
        <v>2.1</v>
      </c>
      <c r="I74" s="31">
        <f t="shared" si="3"/>
        <v>0.5185185185</v>
      </c>
    </row>
    <row r="75" ht="22.5" customHeight="1">
      <c r="A75" s="35">
        <v>46045.0</v>
      </c>
      <c r="B75" s="21" t="s">
        <v>129</v>
      </c>
      <c r="C75" s="21" t="s">
        <v>225</v>
      </c>
      <c r="D75" s="21" t="s">
        <v>222</v>
      </c>
      <c r="E75" s="21">
        <v>2.9</v>
      </c>
      <c r="F75" s="21">
        <v>4.55</v>
      </c>
      <c r="G75" s="30">
        <f t="shared" si="1"/>
        <v>3.725</v>
      </c>
      <c r="H75" s="30">
        <f t="shared" si="2"/>
        <v>1.65</v>
      </c>
      <c r="I75" s="31">
        <f t="shared" si="3"/>
        <v>0.4429530201</v>
      </c>
    </row>
    <row r="76" ht="22.5" customHeight="1">
      <c r="A76" s="35">
        <v>46045.0</v>
      </c>
      <c r="B76" s="21" t="s">
        <v>129</v>
      </c>
      <c r="C76" s="21" t="s">
        <v>226</v>
      </c>
      <c r="D76" s="21" t="s">
        <v>222</v>
      </c>
      <c r="E76" s="21">
        <v>2.8</v>
      </c>
      <c r="F76" s="21">
        <v>3.95</v>
      </c>
      <c r="G76" s="30">
        <f t="shared" si="1"/>
        <v>3.375</v>
      </c>
      <c r="H76" s="30">
        <f t="shared" si="2"/>
        <v>1.15</v>
      </c>
      <c r="I76" s="31">
        <f t="shared" si="3"/>
        <v>0.3407407407</v>
      </c>
    </row>
    <row r="77" ht="22.5" customHeight="1">
      <c r="A77" s="35">
        <v>46045.0</v>
      </c>
      <c r="B77" s="21" t="s">
        <v>129</v>
      </c>
      <c r="C77" s="21" t="s">
        <v>227</v>
      </c>
      <c r="D77" s="21" t="s">
        <v>222</v>
      </c>
      <c r="E77" s="21">
        <v>2.4</v>
      </c>
      <c r="F77" s="21">
        <v>3.32</v>
      </c>
      <c r="G77" s="30">
        <f t="shared" si="1"/>
        <v>2.86</v>
      </c>
      <c r="H77" s="30">
        <f t="shared" si="2"/>
        <v>0.92</v>
      </c>
      <c r="I77" s="31">
        <f t="shared" si="3"/>
        <v>0.3216783217</v>
      </c>
    </row>
    <row r="78" ht="22.5" customHeight="1">
      <c r="A78" s="35">
        <v>46045.0</v>
      </c>
      <c r="B78" s="21" t="s">
        <v>129</v>
      </c>
      <c r="C78" s="21" t="s">
        <v>228</v>
      </c>
      <c r="D78" s="21" t="s">
        <v>222</v>
      </c>
      <c r="E78" s="21">
        <v>2.35</v>
      </c>
      <c r="F78" s="21">
        <v>3.25</v>
      </c>
      <c r="G78" s="30">
        <f t="shared" si="1"/>
        <v>2.8</v>
      </c>
      <c r="H78" s="30">
        <f t="shared" si="2"/>
        <v>0.9</v>
      </c>
      <c r="I78" s="31">
        <f t="shared" si="3"/>
        <v>0.3214285714</v>
      </c>
    </row>
    <row r="79" ht="22.5" customHeight="1">
      <c r="A79" s="35">
        <v>46045.0</v>
      </c>
      <c r="B79" s="21" t="s">
        <v>129</v>
      </c>
      <c r="C79" s="21" t="s">
        <v>229</v>
      </c>
      <c r="D79" s="21" t="s">
        <v>222</v>
      </c>
      <c r="E79" s="21">
        <v>2.2</v>
      </c>
      <c r="F79" s="21">
        <v>3.02</v>
      </c>
      <c r="G79" s="30">
        <f t="shared" si="1"/>
        <v>2.61</v>
      </c>
      <c r="H79" s="30">
        <f t="shared" si="2"/>
        <v>0.82</v>
      </c>
      <c r="I79" s="31">
        <f t="shared" si="3"/>
        <v>0.3141762452</v>
      </c>
    </row>
    <row r="80" ht="22.5" customHeight="1">
      <c r="A80" s="35">
        <v>46052.0</v>
      </c>
      <c r="B80" s="21" t="s">
        <v>136</v>
      </c>
      <c r="C80" s="21" t="s">
        <v>210</v>
      </c>
      <c r="D80" s="21"/>
      <c r="E80" s="21">
        <v>0.8</v>
      </c>
      <c r="F80" s="21">
        <v>1.39</v>
      </c>
      <c r="G80" s="30">
        <f t="shared" si="1"/>
        <v>1.095</v>
      </c>
      <c r="H80" s="30">
        <f t="shared" si="2"/>
        <v>0.59</v>
      </c>
      <c r="I80" s="31">
        <f t="shared" si="3"/>
        <v>0.5388127854</v>
      </c>
    </row>
    <row r="81" ht="22.5" customHeight="1">
      <c r="A81" s="35">
        <v>46052.0</v>
      </c>
      <c r="B81" s="21" t="s">
        <v>136</v>
      </c>
      <c r="C81" s="21" t="s">
        <v>211</v>
      </c>
      <c r="D81" s="21"/>
      <c r="E81" s="21">
        <v>1.3</v>
      </c>
      <c r="F81" s="21">
        <v>1.59</v>
      </c>
      <c r="G81" s="30">
        <f t="shared" si="1"/>
        <v>1.445</v>
      </c>
      <c r="H81" s="30">
        <f t="shared" si="2"/>
        <v>0.29</v>
      </c>
      <c r="I81" s="31">
        <f t="shared" si="3"/>
        <v>0.2006920415</v>
      </c>
    </row>
    <row r="82" ht="22.5" customHeight="1">
      <c r="A82" s="35">
        <v>46052.0</v>
      </c>
      <c r="B82" s="21" t="s">
        <v>136</v>
      </c>
      <c r="C82" s="21" t="s">
        <v>212</v>
      </c>
      <c r="D82" s="21"/>
      <c r="E82" s="21">
        <v>1.6</v>
      </c>
      <c r="F82" s="21">
        <v>1.78</v>
      </c>
      <c r="G82" s="30">
        <f t="shared" si="1"/>
        <v>1.69</v>
      </c>
      <c r="H82" s="30">
        <f t="shared" si="2"/>
        <v>0.18</v>
      </c>
      <c r="I82" s="31">
        <f t="shared" si="3"/>
        <v>0.1065088757</v>
      </c>
    </row>
    <row r="83" ht="22.5" customHeight="1">
      <c r="A83" s="35">
        <v>46052.0</v>
      </c>
      <c r="B83" s="21" t="s">
        <v>213</v>
      </c>
      <c r="C83" s="21" t="s">
        <v>214</v>
      </c>
      <c r="D83" s="21"/>
      <c r="E83" s="21">
        <v>1.67</v>
      </c>
      <c r="F83" s="21">
        <v>1.9</v>
      </c>
      <c r="G83" s="30">
        <f t="shared" si="1"/>
        <v>1.785</v>
      </c>
      <c r="H83" s="30">
        <f t="shared" si="2"/>
        <v>0.23</v>
      </c>
      <c r="I83" s="31">
        <f t="shared" si="3"/>
        <v>0.1288515406</v>
      </c>
    </row>
    <row r="84" ht="22.5" customHeight="1">
      <c r="A84" s="35">
        <v>46052.0</v>
      </c>
      <c r="B84" s="21" t="s">
        <v>213</v>
      </c>
      <c r="C84" s="21" t="s">
        <v>215</v>
      </c>
      <c r="D84" s="21"/>
      <c r="E84" s="21">
        <v>1.98</v>
      </c>
      <c r="F84" s="21">
        <v>1.98</v>
      </c>
      <c r="G84" s="30">
        <f t="shared" si="1"/>
        <v>1.98</v>
      </c>
      <c r="H84" s="30">
        <f t="shared" si="2"/>
        <v>0</v>
      </c>
      <c r="I84" s="31">
        <f t="shared" si="3"/>
        <v>0</v>
      </c>
    </row>
    <row r="85" ht="22.5" customHeight="1">
      <c r="A85" s="35">
        <v>46052.0</v>
      </c>
      <c r="B85" s="21" t="s">
        <v>213</v>
      </c>
      <c r="C85" s="21" t="s">
        <v>216</v>
      </c>
      <c r="D85" s="21"/>
      <c r="E85" s="21">
        <v>1.31</v>
      </c>
      <c r="F85" s="21">
        <v>1.65</v>
      </c>
      <c r="G85" s="30">
        <f t="shared" si="1"/>
        <v>1.48</v>
      </c>
      <c r="H85" s="30">
        <f t="shared" si="2"/>
        <v>0.34</v>
      </c>
      <c r="I85" s="31">
        <f t="shared" si="3"/>
        <v>0.2297297297</v>
      </c>
    </row>
    <row r="86" ht="22.5" customHeight="1">
      <c r="A86" s="35">
        <v>46052.0</v>
      </c>
      <c r="B86" s="21" t="s">
        <v>133</v>
      </c>
      <c r="C86" s="21" t="s">
        <v>217</v>
      </c>
      <c r="D86" s="21"/>
      <c r="E86" s="21">
        <v>4000.0</v>
      </c>
      <c r="F86" s="21">
        <v>5500.0</v>
      </c>
      <c r="G86" s="30">
        <f t="shared" si="1"/>
        <v>4750</v>
      </c>
      <c r="H86" s="30">
        <f t="shared" si="2"/>
        <v>1500</v>
      </c>
      <c r="I86" s="31">
        <f t="shared" si="3"/>
        <v>0.3157894737</v>
      </c>
    </row>
    <row r="87" ht="22.5" customHeight="1">
      <c r="A87" s="35">
        <v>46052.0</v>
      </c>
      <c r="B87" s="21" t="s">
        <v>133</v>
      </c>
      <c r="C87" s="21" t="s">
        <v>218</v>
      </c>
      <c r="D87" s="21"/>
      <c r="E87" s="21">
        <v>2500.0</v>
      </c>
      <c r="F87" s="21">
        <v>4000.0</v>
      </c>
      <c r="G87" s="30">
        <f t="shared" si="1"/>
        <v>3250</v>
      </c>
      <c r="H87" s="30">
        <f t="shared" si="2"/>
        <v>1500</v>
      </c>
      <c r="I87" s="31">
        <f t="shared" si="3"/>
        <v>0.4615384615</v>
      </c>
    </row>
    <row r="88" ht="22.5" customHeight="1">
      <c r="A88" s="35">
        <v>46052.0</v>
      </c>
      <c r="B88" s="21" t="s">
        <v>133</v>
      </c>
      <c r="C88" s="21" t="s">
        <v>219</v>
      </c>
      <c r="D88" s="21"/>
      <c r="E88" s="21">
        <v>3400.0</v>
      </c>
      <c r="F88" s="21">
        <v>4400.0</v>
      </c>
      <c r="G88" s="30">
        <f t="shared" si="1"/>
        <v>3900</v>
      </c>
      <c r="H88" s="30">
        <f t="shared" si="2"/>
        <v>1000</v>
      </c>
      <c r="I88" s="31">
        <f t="shared" si="3"/>
        <v>0.2564102564</v>
      </c>
    </row>
    <row r="89" ht="22.5" customHeight="1">
      <c r="A89" s="35">
        <v>46052.0</v>
      </c>
      <c r="B89" s="21" t="s">
        <v>133</v>
      </c>
      <c r="C89" s="21" t="s">
        <v>220</v>
      </c>
      <c r="D89" s="21"/>
      <c r="E89" s="21">
        <v>1750.0</v>
      </c>
      <c r="F89" s="21">
        <v>3000.0</v>
      </c>
      <c r="G89" s="30">
        <f t="shared" si="1"/>
        <v>2375</v>
      </c>
      <c r="H89" s="30">
        <f t="shared" si="2"/>
        <v>1250</v>
      </c>
      <c r="I89" s="31">
        <f t="shared" si="3"/>
        <v>0.5263157895</v>
      </c>
    </row>
    <row r="90" ht="22.5" customHeight="1">
      <c r="A90" s="35">
        <v>46052.0</v>
      </c>
      <c r="B90" s="21" t="s">
        <v>120</v>
      </c>
      <c r="C90" s="21" t="s">
        <v>221</v>
      </c>
      <c r="D90" s="21" t="s">
        <v>222</v>
      </c>
      <c r="E90" s="21">
        <v>4.5</v>
      </c>
      <c r="F90" s="21">
        <v>6.8</v>
      </c>
      <c r="G90" s="30">
        <f t="shared" si="1"/>
        <v>5.65</v>
      </c>
      <c r="H90" s="30">
        <f t="shared" si="2"/>
        <v>2.3</v>
      </c>
      <c r="I90" s="31">
        <f t="shared" si="3"/>
        <v>0.407079646</v>
      </c>
    </row>
    <row r="91" ht="22.5" customHeight="1">
      <c r="A91" s="35">
        <v>46052.0</v>
      </c>
      <c r="B91" s="21" t="s">
        <v>120</v>
      </c>
      <c r="C91" s="21" t="s">
        <v>223</v>
      </c>
      <c r="D91" s="21" t="s">
        <v>222</v>
      </c>
      <c r="E91" s="21">
        <v>3.9</v>
      </c>
      <c r="F91" s="21">
        <v>6.5</v>
      </c>
      <c r="G91" s="30">
        <f t="shared" si="1"/>
        <v>5.2</v>
      </c>
      <c r="H91" s="30">
        <f t="shared" si="2"/>
        <v>2.6</v>
      </c>
      <c r="I91" s="31">
        <f t="shared" si="3"/>
        <v>0.5</v>
      </c>
    </row>
    <row r="92" ht="22.5" customHeight="1">
      <c r="A92" s="35">
        <v>46052.0</v>
      </c>
      <c r="B92" s="21" t="s">
        <v>120</v>
      </c>
      <c r="C92" s="21" t="s">
        <v>224</v>
      </c>
      <c r="D92" s="21" t="s">
        <v>222</v>
      </c>
      <c r="E92" s="21">
        <v>3.25</v>
      </c>
      <c r="F92" s="21">
        <v>5.55</v>
      </c>
      <c r="G92" s="30">
        <f t="shared" si="1"/>
        <v>4.4</v>
      </c>
      <c r="H92" s="30">
        <f t="shared" si="2"/>
        <v>2.3</v>
      </c>
      <c r="I92" s="31">
        <f t="shared" si="3"/>
        <v>0.5227272727</v>
      </c>
    </row>
    <row r="93" ht="22.5" customHeight="1">
      <c r="A93" s="35">
        <v>46052.0</v>
      </c>
      <c r="B93" s="21" t="s">
        <v>120</v>
      </c>
      <c r="C93" s="21" t="s">
        <v>225</v>
      </c>
      <c r="D93" s="21" t="s">
        <v>222</v>
      </c>
      <c r="E93" s="21">
        <v>3.0</v>
      </c>
      <c r="F93" s="21">
        <v>5.6</v>
      </c>
      <c r="G93" s="30">
        <f t="shared" si="1"/>
        <v>4.3</v>
      </c>
      <c r="H93" s="30">
        <f t="shared" si="2"/>
        <v>2.6</v>
      </c>
      <c r="I93" s="31">
        <f t="shared" si="3"/>
        <v>0.6046511628</v>
      </c>
    </row>
    <row r="94" ht="22.5" customHeight="1">
      <c r="A94" s="35">
        <v>46052.0</v>
      </c>
      <c r="B94" s="21" t="s">
        <v>120</v>
      </c>
      <c r="C94" s="21" t="s">
        <v>226</v>
      </c>
      <c r="D94" s="21" t="s">
        <v>222</v>
      </c>
      <c r="E94" s="21">
        <v>2.85</v>
      </c>
      <c r="F94" s="21">
        <v>4.85</v>
      </c>
      <c r="G94" s="30">
        <f t="shared" si="1"/>
        <v>3.85</v>
      </c>
      <c r="H94" s="30">
        <f t="shared" si="2"/>
        <v>2</v>
      </c>
      <c r="I94" s="31">
        <f t="shared" si="3"/>
        <v>0.5194805195</v>
      </c>
    </row>
    <row r="95" ht="22.5" customHeight="1">
      <c r="A95" s="35">
        <v>46052.0</v>
      </c>
      <c r="B95" s="21" t="s">
        <v>120</v>
      </c>
      <c r="C95" s="21" t="s">
        <v>227</v>
      </c>
      <c r="D95" s="21" t="s">
        <v>222</v>
      </c>
      <c r="E95" s="21">
        <v>2.55</v>
      </c>
      <c r="F95" s="21">
        <v>4.1</v>
      </c>
      <c r="G95" s="30">
        <f t="shared" si="1"/>
        <v>3.325</v>
      </c>
      <c r="H95" s="30">
        <f t="shared" si="2"/>
        <v>1.55</v>
      </c>
      <c r="I95" s="31">
        <f t="shared" si="3"/>
        <v>0.4661654135</v>
      </c>
    </row>
    <row r="96" ht="22.5" customHeight="1">
      <c r="A96" s="35">
        <v>46052.0</v>
      </c>
      <c r="B96" s="21" t="s">
        <v>120</v>
      </c>
      <c r="C96" s="21" t="s">
        <v>228</v>
      </c>
      <c r="D96" s="21" t="s">
        <v>222</v>
      </c>
      <c r="E96" s="21">
        <v>2.0</v>
      </c>
      <c r="F96" s="21">
        <v>3.9</v>
      </c>
      <c r="G96" s="30">
        <f t="shared" si="1"/>
        <v>2.95</v>
      </c>
      <c r="H96" s="30">
        <f t="shared" si="2"/>
        <v>1.9</v>
      </c>
      <c r="I96" s="31">
        <f t="shared" si="3"/>
        <v>0.6440677966</v>
      </c>
    </row>
    <row r="97" ht="22.5" customHeight="1">
      <c r="A97" s="35">
        <v>46052.0</v>
      </c>
      <c r="B97" s="21" t="s">
        <v>120</v>
      </c>
      <c r="C97" s="21" t="s">
        <v>229</v>
      </c>
      <c r="D97" s="21" t="s">
        <v>222</v>
      </c>
      <c r="E97" s="21">
        <v>2.1</v>
      </c>
      <c r="F97" s="21">
        <v>3.47</v>
      </c>
      <c r="G97" s="30">
        <f t="shared" si="1"/>
        <v>2.785</v>
      </c>
      <c r="H97" s="30">
        <f t="shared" si="2"/>
        <v>1.37</v>
      </c>
      <c r="I97" s="31">
        <f t="shared" si="3"/>
        <v>0.4919210054</v>
      </c>
    </row>
    <row r="98" ht="22.5" customHeight="1">
      <c r="A98" s="35">
        <v>46052.0</v>
      </c>
      <c r="B98" s="21" t="s">
        <v>129</v>
      </c>
      <c r="C98" s="21" t="s">
        <v>221</v>
      </c>
      <c r="D98" s="21" t="s">
        <v>222</v>
      </c>
      <c r="E98" s="21">
        <v>3.25</v>
      </c>
      <c r="F98" s="21">
        <v>6.8</v>
      </c>
      <c r="G98" s="30">
        <f t="shared" si="1"/>
        <v>5.025</v>
      </c>
      <c r="H98" s="30">
        <f t="shared" si="2"/>
        <v>3.55</v>
      </c>
      <c r="I98" s="31">
        <f t="shared" si="3"/>
        <v>0.7064676617</v>
      </c>
    </row>
    <row r="99" ht="22.5" customHeight="1">
      <c r="A99" s="35">
        <v>46052.0</v>
      </c>
      <c r="B99" s="21" t="s">
        <v>129</v>
      </c>
      <c r="C99" s="21" t="s">
        <v>223</v>
      </c>
      <c r="D99" s="21" t="s">
        <v>222</v>
      </c>
      <c r="E99" s="21">
        <v>3.2</v>
      </c>
      <c r="F99" s="21">
        <v>6.1</v>
      </c>
      <c r="G99" s="30">
        <f t="shared" si="1"/>
        <v>4.65</v>
      </c>
      <c r="H99" s="30">
        <f t="shared" si="2"/>
        <v>2.9</v>
      </c>
      <c r="I99" s="31">
        <f t="shared" si="3"/>
        <v>0.623655914</v>
      </c>
    </row>
    <row r="100" ht="22.5" customHeight="1">
      <c r="A100" s="35">
        <v>46052.0</v>
      </c>
      <c r="B100" s="21" t="s">
        <v>129</v>
      </c>
      <c r="C100" s="21" t="s">
        <v>224</v>
      </c>
      <c r="D100" s="21" t="s">
        <v>222</v>
      </c>
      <c r="E100" s="21">
        <v>3.0</v>
      </c>
      <c r="F100" s="21">
        <v>5.3</v>
      </c>
      <c r="G100" s="30">
        <f t="shared" si="1"/>
        <v>4.15</v>
      </c>
      <c r="H100" s="30">
        <f t="shared" si="2"/>
        <v>2.3</v>
      </c>
      <c r="I100" s="31">
        <f t="shared" si="3"/>
        <v>0.5542168675</v>
      </c>
    </row>
    <row r="101" ht="22.5" customHeight="1">
      <c r="A101" s="35">
        <v>46052.0</v>
      </c>
      <c r="B101" s="21" t="s">
        <v>129</v>
      </c>
      <c r="C101" s="21" t="s">
        <v>225</v>
      </c>
      <c r="D101" s="21" t="s">
        <v>222</v>
      </c>
      <c r="E101" s="21">
        <v>2.9</v>
      </c>
      <c r="F101" s="21">
        <v>4.55</v>
      </c>
      <c r="G101" s="30">
        <f t="shared" si="1"/>
        <v>3.725</v>
      </c>
      <c r="H101" s="30">
        <f t="shared" si="2"/>
        <v>1.65</v>
      </c>
      <c r="I101" s="31">
        <f t="shared" si="3"/>
        <v>0.4429530201</v>
      </c>
    </row>
    <row r="102" ht="22.5" customHeight="1">
      <c r="A102" s="35">
        <v>46052.0</v>
      </c>
      <c r="B102" s="21" t="s">
        <v>129</v>
      </c>
      <c r="C102" s="21" t="s">
        <v>226</v>
      </c>
      <c r="D102" s="21" t="s">
        <v>222</v>
      </c>
      <c r="E102" s="21">
        <v>2.8</v>
      </c>
      <c r="F102" s="21">
        <v>4.22</v>
      </c>
      <c r="G102" s="30">
        <f t="shared" si="1"/>
        <v>3.51</v>
      </c>
      <c r="H102" s="30">
        <f t="shared" si="2"/>
        <v>1.42</v>
      </c>
      <c r="I102" s="31">
        <f t="shared" si="3"/>
        <v>0.4045584046</v>
      </c>
    </row>
    <row r="103" ht="22.5" customHeight="1">
      <c r="A103" s="35">
        <v>46052.0</v>
      </c>
      <c r="B103" s="21" t="s">
        <v>129</v>
      </c>
      <c r="C103" s="21" t="s">
        <v>227</v>
      </c>
      <c r="D103" s="21" t="s">
        <v>222</v>
      </c>
      <c r="E103" s="21">
        <v>2.4</v>
      </c>
      <c r="F103" s="21">
        <v>3.75</v>
      </c>
      <c r="G103" s="30">
        <f t="shared" si="1"/>
        <v>3.075</v>
      </c>
      <c r="H103" s="30">
        <f t="shared" si="2"/>
        <v>1.35</v>
      </c>
      <c r="I103" s="31">
        <f t="shared" si="3"/>
        <v>0.4390243902</v>
      </c>
    </row>
    <row r="104" ht="22.5" customHeight="1">
      <c r="A104" s="35">
        <v>46052.0</v>
      </c>
      <c r="B104" s="21" t="s">
        <v>129</v>
      </c>
      <c r="C104" s="21" t="s">
        <v>228</v>
      </c>
      <c r="D104" s="21" t="s">
        <v>222</v>
      </c>
      <c r="E104" s="21">
        <v>2.35</v>
      </c>
      <c r="F104" s="21">
        <v>3.3</v>
      </c>
      <c r="G104" s="30">
        <f t="shared" si="1"/>
        <v>2.825</v>
      </c>
      <c r="H104" s="30">
        <f t="shared" si="2"/>
        <v>0.95</v>
      </c>
      <c r="I104" s="31">
        <f t="shared" si="3"/>
        <v>0.3362831858</v>
      </c>
    </row>
    <row r="105" ht="22.5" customHeight="1">
      <c r="A105" s="35">
        <v>46052.0</v>
      </c>
      <c r="B105" s="21" t="s">
        <v>129</v>
      </c>
      <c r="C105" s="21" t="s">
        <v>229</v>
      </c>
      <c r="D105" s="21" t="s">
        <v>222</v>
      </c>
      <c r="E105" s="21">
        <v>2.2</v>
      </c>
      <c r="F105" s="21">
        <v>3.15</v>
      </c>
      <c r="G105" s="30">
        <f t="shared" si="1"/>
        <v>2.675</v>
      </c>
      <c r="H105" s="30">
        <f t="shared" si="2"/>
        <v>0.95</v>
      </c>
      <c r="I105" s="31">
        <f t="shared" si="3"/>
        <v>0.3551401869</v>
      </c>
    </row>
    <row r="106" ht="22.5" customHeight="1">
      <c r="A106" s="35">
        <v>46059.0</v>
      </c>
      <c r="B106" s="21" t="s">
        <v>136</v>
      </c>
      <c r="C106" s="21" t="s">
        <v>210</v>
      </c>
      <c r="D106" s="21"/>
      <c r="E106" s="21">
        <v>0.8</v>
      </c>
      <c r="F106" s="21">
        <v>1.39</v>
      </c>
      <c r="G106" s="30">
        <f t="shared" si="1"/>
        <v>1.095</v>
      </c>
      <c r="H106" s="30">
        <f t="shared" si="2"/>
        <v>0.59</v>
      </c>
      <c r="I106" s="31">
        <f t="shared" si="3"/>
        <v>0.5388127854</v>
      </c>
    </row>
    <row r="107" ht="22.5" customHeight="1">
      <c r="A107" s="35">
        <v>46059.0</v>
      </c>
      <c r="B107" s="21" t="s">
        <v>136</v>
      </c>
      <c r="C107" s="21" t="s">
        <v>211</v>
      </c>
      <c r="D107" s="21"/>
      <c r="E107" s="21">
        <v>1.3</v>
      </c>
      <c r="F107" s="21">
        <v>1.59</v>
      </c>
      <c r="G107" s="30">
        <f t="shared" si="1"/>
        <v>1.445</v>
      </c>
      <c r="H107" s="30">
        <f t="shared" si="2"/>
        <v>0.29</v>
      </c>
      <c r="I107" s="31">
        <f t="shared" si="3"/>
        <v>0.2006920415</v>
      </c>
    </row>
    <row r="108" ht="22.5" customHeight="1">
      <c r="A108" s="35">
        <v>46059.0</v>
      </c>
      <c r="B108" s="21" t="s">
        <v>136</v>
      </c>
      <c r="C108" s="21" t="s">
        <v>212</v>
      </c>
      <c r="D108" s="21"/>
      <c r="E108" s="21">
        <v>1.6</v>
      </c>
      <c r="F108" s="21">
        <v>1.78</v>
      </c>
      <c r="G108" s="30">
        <f t="shared" si="1"/>
        <v>1.69</v>
      </c>
      <c r="H108" s="30">
        <f t="shared" si="2"/>
        <v>0.18</v>
      </c>
      <c r="I108" s="31">
        <f t="shared" si="3"/>
        <v>0.1065088757</v>
      </c>
    </row>
    <row r="109" ht="22.5" customHeight="1">
      <c r="A109" s="35">
        <v>46059.0</v>
      </c>
      <c r="B109" s="21" t="s">
        <v>213</v>
      </c>
      <c r="C109" s="21" t="s">
        <v>214</v>
      </c>
      <c r="D109" s="21"/>
      <c r="E109" s="21">
        <v>1.67</v>
      </c>
      <c r="F109" s="21">
        <v>1.93</v>
      </c>
      <c r="G109" s="30">
        <f t="shared" si="1"/>
        <v>1.8</v>
      </c>
      <c r="H109" s="30">
        <f t="shared" ref="H109:H781" si="4">(F109+G109)/2</f>
        <v>1.865</v>
      </c>
      <c r="I109" s="31">
        <f t="shared" si="3"/>
        <v>0.1444444444</v>
      </c>
    </row>
    <row r="110" ht="22.5" customHeight="1">
      <c r="A110" s="35">
        <v>46059.0</v>
      </c>
      <c r="B110" s="21" t="s">
        <v>213</v>
      </c>
      <c r="C110" s="21" t="s">
        <v>215</v>
      </c>
      <c r="D110" s="21"/>
      <c r="E110" s="21">
        <v>1.99</v>
      </c>
      <c r="F110" s="21">
        <v>1.99</v>
      </c>
      <c r="G110" s="30">
        <f t="shared" si="1"/>
        <v>1.99</v>
      </c>
      <c r="H110" s="30">
        <f t="shared" si="4"/>
        <v>1.99</v>
      </c>
      <c r="I110" s="31">
        <f t="shared" si="3"/>
        <v>0</v>
      </c>
    </row>
    <row r="111" ht="22.5" customHeight="1">
      <c r="A111" s="35">
        <v>46059.0</v>
      </c>
      <c r="B111" s="21" t="s">
        <v>213</v>
      </c>
      <c r="C111" s="21" t="s">
        <v>216</v>
      </c>
      <c r="D111" s="21"/>
      <c r="E111" s="21">
        <v>1.31</v>
      </c>
      <c r="F111" s="21">
        <v>1.65</v>
      </c>
      <c r="G111" s="30">
        <f t="shared" si="1"/>
        <v>1.48</v>
      </c>
      <c r="H111" s="30">
        <f t="shared" si="4"/>
        <v>1.565</v>
      </c>
      <c r="I111" s="31">
        <f t="shared" si="3"/>
        <v>0.2297297297</v>
      </c>
    </row>
    <row r="112" ht="22.5" customHeight="1">
      <c r="A112" s="35">
        <v>46059.0</v>
      </c>
      <c r="B112" s="21" t="s">
        <v>133</v>
      </c>
      <c r="C112" s="21" t="s">
        <v>217</v>
      </c>
      <c r="D112" s="21"/>
      <c r="E112" s="21">
        <v>4000.0</v>
      </c>
      <c r="F112" s="21">
        <v>5500.0</v>
      </c>
      <c r="G112" s="30">
        <f t="shared" si="1"/>
        <v>4750</v>
      </c>
      <c r="H112" s="30">
        <f t="shared" si="4"/>
        <v>5125</v>
      </c>
      <c r="I112" s="31">
        <f t="shared" si="3"/>
        <v>0.3157894737</v>
      </c>
    </row>
    <row r="113" ht="22.5" customHeight="1">
      <c r="A113" s="35">
        <v>46059.0</v>
      </c>
      <c r="B113" s="21" t="s">
        <v>133</v>
      </c>
      <c r="C113" s="21" t="s">
        <v>218</v>
      </c>
      <c r="D113" s="21"/>
      <c r="E113" s="21">
        <v>2500.0</v>
      </c>
      <c r="F113" s="21">
        <v>4000.0</v>
      </c>
      <c r="G113" s="30">
        <f t="shared" si="1"/>
        <v>3250</v>
      </c>
      <c r="H113" s="30">
        <f t="shared" si="4"/>
        <v>3625</v>
      </c>
      <c r="I113" s="31">
        <f t="shared" si="3"/>
        <v>0.4615384615</v>
      </c>
    </row>
    <row r="114" ht="22.5" customHeight="1">
      <c r="A114" s="35">
        <v>46059.0</v>
      </c>
      <c r="B114" s="21" t="s">
        <v>133</v>
      </c>
      <c r="C114" s="21" t="s">
        <v>219</v>
      </c>
      <c r="D114" s="21"/>
      <c r="E114" s="21">
        <v>3400.0</v>
      </c>
      <c r="F114" s="21">
        <v>4750.0</v>
      </c>
      <c r="G114" s="30">
        <f t="shared" si="1"/>
        <v>4075</v>
      </c>
      <c r="H114" s="30">
        <f t="shared" si="4"/>
        <v>4412.5</v>
      </c>
      <c r="I114" s="31">
        <f t="shared" si="3"/>
        <v>0.3312883436</v>
      </c>
    </row>
    <row r="115" ht="22.5" customHeight="1">
      <c r="A115" s="35">
        <v>46059.0</v>
      </c>
      <c r="B115" s="21" t="s">
        <v>133</v>
      </c>
      <c r="C115" s="21" t="s">
        <v>220</v>
      </c>
      <c r="D115" s="21"/>
      <c r="E115" s="21">
        <v>1750.0</v>
      </c>
      <c r="F115" s="21">
        <v>3000.0</v>
      </c>
      <c r="G115" s="30">
        <f t="shared" si="1"/>
        <v>2375</v>
      </c>
      <c r="H115" s="30">
        <f t="shared" si="4"/>
        <v>2687.5</v>
      </c>
      <c r="I115" s="31">
        <f t="shared" si="3"/>
        <v>0.5263157895</v>
      </c>
    </row>
    <row r="116" ht="22.5" customHeight="1">
      <c r="A116" s="35">
        <v>46059.0</v>
      </c>
      <c r="B116" s="21" t="s">
        <v>120</v>
      </c>
      <c r="C116" s="21" t="s">
        <v>221</v>
      </c>
      <c r="D116" s="21" t="s">
        <v>222</v>
      </c>
      <c r="E116" s="21">
        <v>5.0</v>
      </c>
      <c r="F116" s="21">
        <v>8.25</v>
      </c>
      <c r="G116" s="30">
        <f t="shared" si="1"/>
        <v>6.625</v>
      </c>
      <c r="H116" s="30">
        <f t="shared" si="4"/>
        <v>7.4375</v>
      </c>
      <c r="I116" s="31">
        <f t="shared" si="3"/>
        <v>0.4905660377</v>
      </c>
    </row>
    <row r="117" ht="22.5" customHeight="1">
      <c r="A117" s="35">
        <v>46059.0</v>
      </c>
      <c r="B117" s="21" t="s">
        <v>120</v>
      </c>
      <c r="C117" s="21" t="s">
        <v>223</v>
      </c>
      <c r="D117" s="21" t="s">
        <v>222</v>
      </c>
      <c r="E117" s="21">
        <v>4.2</v>
      </c>
      <c r="F117" s="21">
        <v>6.6</v>
      </c>
      <c r="G117" s="30">
        <f t="shared" si="1"/>
        <v>5.4</v>
      </c>
      <c r="H117" s="30">
        <f t="shared" si="4"/>
        <v>6</v>
      </c>
      <c r="I117" s="31">
        <f t="shared" si="3"/>
        <v>0.4444444444</v>
      </c>
    </row>
    <row r="118" ht="22.5" customHeight="1">
      <c r="A118" s="35">
        <v>46059.0</v>
      </c>
      <c r="B118" s="21" t="s">
        <v>120</v>
      </c>
      <c r="C118" s="21" t="s">
        <v>224</v>
      </c>
      <c r="D118" s="21" t="s">
        <v>222</v>
      </c>
      <c r="E118" s="21">
        <v>3.5</v>
      </c>
      <c r="F118" s="21">
        <v>6.5</v>
      </c>
      <c r="G118" s="30">
        <f t="shared" si="1"/>
        <v>5</v>
      </c>
      <c r="H118" s="30">
        <f t="shared" si="4"/>
        <v>5.75</v>
      </c>
      <c r="I118" s="31">
        <f t="shared" si="3"/>
        <v>0.6</v>
      </c>
    </row>
    <row r="119" ht="22.5" customHeight="1">
      <c r="A119" s="35">
        <v>46059.0</v>
      </c>
      <c r="B119" s="21" t="s">
        <v>120</v>
      </c>
      <c r="C119" s="21" t="s">
        <v>225</v>
      </c>
      <c r="D119" s="21" t="s">
        <v>222</v>
      </c>
      <c r="E119" s="21">
        <v>3.3</v>
      </c>
      <c r="F119" s="21">
        <v>5.75</v>
      </c>
      <c r="G119" s="30">
        <f t="shared" si="1"/>
        <v>4.525</v>
      </c>
      <c r="H119" s="30">
        <f t="shared" si="4"/>
        <v>5.1375</v>
      </c>
      <c r="I119" s="31">
        <f t="shared" si="3"/>
        <v>0.5414364641</v>
      </c>
    </row>
    <row r="120" ht="22.5" customHeight="1">
      <c r="A120" s="35">
        <v>46059.0</v>
      </c>
      <c r="B120" s="21" t="s">
        <v>120</v>
      </c>
      <c r="C120" s="21" t="s">
        <v>226</v>
      </c>
      <c r="D120" s="21" t="s">
        <v>222</v>
      </c>
      <c r="E120" s="21">
        <v>3.1</v>
      </c>
      <c r="F120" s="21">
        <v>4.95</v>
      </c>
      <c r="G120" s="30">
        <f t="shared" si="1"/>
        <v>4.025</v>
      </c>
      <c r="H120" s="30">
        <f t="shared" si="4"/>
        <v>4.4875</v>
      </c>
      <c r="I120" s="31">
        <f t="shared" si="3"/>
        <v>0.4596273292</v>
      </c>
    </row>
    <row r="121" ht="22.5" customHeight="1">
      <c r="A121" s="35">
        <v>46059.0</v>
      </c>
      <c r="B121" s="21" t="s">
        <v>120</v>
      </c>
      <c r="C121" s="21" t="s">
        <v>227</v>
      </c>
      <c r="D121" s="21" t="s">
        <v>222</v>
      </c>
      <c r="E121" s="21">
        <v>2.9</v>
      </c>
      <c r="F121" s="21">
        <v>4.35</v>
      </c>
      <c r="G121" s="30">
        <f t="shared" si="1"/>
        <v>3.625</v>
      </c>
      <c r="H121" s="30">
        <f t="shared" si="4"/>
        <v>3.9875</v>
      </c>
      <c r="I121" s="31">
        <f t="shared" si="3"/>
        <v>0.4</v>
      </c>
    </row>
    <row r="122" ht="22.5" customHeight="1">
      <c r="A122" s="35">
        <v>46059.0</v>
      </c>
      <c r="B122" s="21" t="s">
        <v>120</v>
      </c>
      <c r="C122" s="21" t="s">
        <v>228</v>
      </c>
      <c r="D122" s="21" t="s">
        <v>222</v>
      </c>
      <c r="E122" s="21">
        <v>2.4</v>
      </c>
      <c r="F122" s="21">
        <v>4.0</v>
      </c>
      <c r="G122" s="30">
        <f t="shared" si="1"/>
        <v>3.2</v>
      </c>
      <c r="H122" s="30">
        <f t="shared" si="4"/>
        <v>3.6</v>
      </c>
      <c r="I122" s="31">
        <f t="shared" si="3"/>
        <v>0.5</v>
      </c>
    </row>
    <row r="123" ht="22.5" customHeight="1">
      <c r="A123" s="35">
        <v>46059.0</v>
      </c>
      <c r="B123" s="21" t="s">
        <v>120</v>
      </c>
      <c r="C123" s="21" t="s">
        <v>229</v>
      </c>
      <c r="D123" s="21" t="s">
        <v>222</v>
      </c>
      <c r="E123" s="21">
        <v>2.2</v>
      </c>
      <c r="F123" s="21">
        <v>3.55</v>
      </c>
      <c r="G123" s="30">
        <f t="shared" si="1"/>
        <v>2.875</v>
      </c>
      <c r="H123" s="30">
        <f t="shared" si="4"/>
        <v>3.2125</v>
      </c>
      <c r="I123" s="31">
        <f t="shared" si="3"/>
        <v>0.4695652174</v>
      </c>
    </row>
    <row r="124" ht="22.5" customHeight="1">
      <c r="A124" s="35">
        <v>46059.0</v>
      </c>
      <c r="B124" s="21" t="s">
        <v>129</v>
      </c>
      <c r="C124" s="21" t="s">
        <v>221</v>
      </c>
      <c r="D124" s="21" t="s">
        <v>222</v>
      </c>
      <c r="E124" s="21">
        <v>3.6</v>
      </c>
      <c r="F124" s="21">
        <v>8.0</v>
      </c>
      <c r="G124" s="30">
        <f t="shared" si="1"/>
        <v>5.8</v>
      </c>
      <c r="H124" s="30">
        <f t="shared" si="4"/>
        <v>6.9</v>
      </c>
      <c r="I124" s="31">
        <f t="shared" si="3"/>
        <v>0.7586206897</v>
      </c>
    </row>
    <row r="125" ht="22.5" customHeight="1">
      <c r="A125" s="35">
        <v>46059.0</v>
      </c>
      <c r="B125" s="21" t="s">
        <v>129</v>
      </c>
      <c r="C125" s="21" t="s">
        <v>223</v>
      </c>
      <c r="D125" s="21" t="s">
        <v>222</v>
      </c>
      <c r="E125" s="21">
        <v>3.4</v>
      </c>
      <c r="F125" s="21">
        <v>6.45</v>
      </c>
      <c r="G125" s="30">
        <f t="shared" si="1"/>
        <v>4.925</v>
      </c>
      <c r="H125" s="30">
        <f t="shared" si="4"/>
        <v>5.6875</v>
      </c>
      <c r="I125" s="31">
        <f t="shared" si="3"/>
        <v>0.6192893401</v>
      </c>
    </row>
    <row r="126" ht="22.5" customHeight="1">
      <c r="A126" s="35">
        <v>46059.0</v>
      </c>
      <c r="B126" s="21" t="s">
        <v>129</v>
      </c>
      <c r="C126" s="21" t="s">
        <v>224</v>
      </c>
      <c r="D126" s="21" t="s">
        <v>222</v>
      </c>
      <c r="E126" s="21">
        <v>3.2</v>
      </c>
      <c r="F126" s="21">
        <v>5.35</v>
      </c>
      <c r="G126" s="30">
        <f t="shared" si="1"/>
        <v>4.275</v>
      </c>
      <c r="H126" s="30">
        <f t="shared" si="4"/>
        <v>4.8125</v>
      </c>
      <c r="I126" s="31">
        <f t="shared" si="3"/>
        <v>0.5029239766</v>
      </c>
    </row>
    <row r="127" ht="22.5" customHeight="1">
      <c r="A127" s="35">
        <v>46059.0</v>
      </c>
      <c r="B127" s="21" t="s">
        <v>129</v>
      </c>
      <c r="C127" s="21" t="s">
        <v>225</v>
      </c>
      <c r="D127" s="21" t="s">
        <v>222</v>
      </c>
      <c r="E127" s="21">
        <v>3.1</v>
      </c>
      <c r="F127" s="21">
        <v>5.55</v>
      </c>
      <c r="G127" s="30">
        <f t="shared" si="1"/>
        <v>4.325</v>
      </c>
      <c r="H127" s="30">
        <f t="shared" si="4"/>
        <v>4.9375</v>
      </c>
      <c r="I127" s="31">
        <f t="shared" si="3"/>
        <v>0.5664739884</v>
      </c>
    </row>
    <row r="128" ht="22.5" customHeight="1">
      <c r="A128" s="35">
        <v>46059.0</v>
      </c>
      <c r="B128" s="21" t="s">
        <v>129</v>
      </c>
      <c r="C128" s="21" t="s">
        <v>226</v>
      </c>
      <c r="D128" s="21" t="s">
        <v>222</v>
      </c>
      <c r="E128" s="21">
        <v>2.95</v>
      </c>
      <c r="F128" s="21">
        <v>5.15</v>
      </c>
      <c r="G128" s="30">
        <f t="shared" si="1"/>
        <v>4.05</v>
      </c>
      <c r="H128" s="30">
        <f t="shared" si="4"/>
        <v>4.6</v>
      </c>
      <c r="I128" s="31">
        <f t="shared" si="3"/>
        <v>0.5432098765</v>
      </c>
    </row>
    <row r="129" ht="22.5" customHeight="1">
      <c r="A129" s="35">
        <v>46059.0</v>
      </c>
      <c r="B129" s="21" t="s">
        <v>129</v>
      </c>
      <c r="C129" s="21" t="s">
        <v>227</v>
      </c>
      <c r="D129" s="21" t="s">
        <v>222</v>
      </c>
      <c r="E129" s="21">
        <v>2.75</v>
      </c>
      <c r="F129" s="21">
        <v>3.67</v>
      </c>
      <c r="G129" s="30">
        <f t="shared" si="1"/>
        <v>3.21</v>
      </c>
      <c r="H129" s="30">
        <f t="shared" si="4"/>
        <v>3.44</v>
      </c>
      <c r="I129" s="31">
        <f t="shared" si="3"/>
        <v>0.2866043614</v>
      </c>
    </row>
    <row r="130" ht="22.5" customHeight="1">
      <c r="A130" s="35">
        <v>46059.0</v>
      </c>
      <c r="B130" s="21" t="s">
        <v>129</v>
      </c>
      <c r="C130" s="21" t="s">
        <v>228</v>
      </c>
      <c r="D130" s="21" t="s">
        <v>222</v>
      </c>
      <c r="E130" s="21">
        <v>2.6</v>
      </c>
      <c r="F130" s="21">
        <v>3.5</v>
      </c>
      <c r="G130" s="30">
        <f t="shared" si="1"/>
        <v>3.05</v>
      </c>
      <c r="H130" s="30">
        <f t="shared" si="4"/>
        <v>3.275</v>
      </c>
      <c r="I130" s="31">
        <f t="shared" si="3"/>
        <v>0.2950819672</v>
      </c>
    </row>
    <row r="131" ht="22.5" customHeight="1">
      <c r="A131" s="35">
        <v>46059.0</v>
      </c>
      <c r="B131" s="21" t="s">
        <v>129</v>
      </c>
      <c r="C131" s="21" t="s">
        <v>229</v>
      </c>
      <c r="D131" s="21" t="s">
        <v>222</v>
      </c>
      <c r="E131" s="21">
        <v>2.35</v>
      </c>
      <c r="F131" s="21">
        <v>3.0</v>
      </c>
      <c r="G131" s="30">
        <f t="shared" si="1"/>
        <v>2.675</v>
      </c>
      <c r="H131" s="30">
        <f t="shared" si="4"/>
        <v>2.8375</v>
      </c>
      <c r="I131" s="31">
        <f t="shared" si="3"/>
        <v>0.2429906542</v>
      </c>
    </row>
    <row r="132" ht="22.5" customHeight="1">
      <c r="A132" s="35">
        <v>46066.0</v>
      </c>
      <c r="B132" s="21" t="s">
        <v>136</v>
      </c>
      <c r="C132" s="21" t="s">
        <v>210</v>
      </c>
      <c r="D132" s="21"/>
      <c r="E132" s="21">
        <v>0.8</v>
      </c>
      <c r="F132" s="21">
        <v>1.39</v>
      </c>
      <c r="G132" s="30">
        <f t="shared" si="1"/>
        <v>1.095</v>
      </c>
      <c r="H132" s="30">
        <f t="shared" si="4"/>
        <v>1.2425</v>
      </c>
      <c r="I132" s="31">
        <f t="shared" si="3"/>
        <v>0.5388127854</v>
      </c>
    </row>
    <row r="133" ht="22.5" customHeight="1">
      <c r="A133" s="35">
        <v>46066.0</v>
      </c>
      <c r="B133" s="21" t="s">
        <v>136</v>
      </c>
      <c r="C133" s="21" t="s">
        <v>211</v>
      </c>
      <c r="D133" s="21"/>
      <c r="E133" s="21">
        <v>1.3</v>
      </c>
      <c r="F133" s="21">
        <v>1.59</v>
      </c>
      <c r="G133" s="30">
        <f t="shared" si="1"/>
        <v>1.445</v>
      </c>
      <c r="H133" s="30">
        <f t="shared" si="4"/>
        <v>1.5175</v>
      </c>
      <c r="I133" s="31">
        <f t="shared" si="3"/>
        <v>0.2006920415</v>
      </c>
    </row>
    <row r="134" ht="22.5" customHeight="1">
      <c r="A134" s="35">
        <v>46066.0</v>
      </c>
      <c r="B134" s="21" t="s">
        <v>136</v>
      </c>
      <c r="C134" s="21" t="s">
        <v>212</v>
      </c>
      <c r="D134" s="21"/>
      <c r="E134" s="21">
        <v>1.6</v>
      </c>
      <c r="F134" s="21">
        <v>1.89</v>
      </c>
      <c r="G134" s="30">
        <f t="shared" si="1"/>
        <v>1.745</v>
      </c>
      <c r="H134" s="30">
        <f t="shared" si="4"/>
        <v>1.8175</v>
      </c>
      <c r="I134" s="31">
        <f t="shared" si="3"/>
        <v>0.1661891117</v>
      </c>
    </row>
    <row r="135" ht="22.5" customHeight="1">
      <c r="A135" s="35">
        <v>46066.0</v>
      </c>
      <c r="B135" s="21" t="s">
        <v>213</v>
      </c>
      <c r="C135" s="21" t="s">
        <v>214</v>
      </c>
      <c r="D135" s="21"/>
      <c r="E135" s="21">
        <v>1.67</v>
      </c>
      <c r="F135" s="21">
        <v>1.97</v>
      </c>
      <c r="G135" s="30">
        <f t="shared" si="1"/>
        <v>1.82</v>
      </c>
      <c r="H135" s="30">
        <f t="shared" si="4"/>
        <v>1.895</v>
      </c>
      <c r="I135" s="31">
        <f t="shared" si="3"/>
        <v>0.1648351648</v>
      </c>
    </row>
    <row r="136" ht="22.5" customHeight="1">
      <c r="A136" s="35">
        <v>46066.0</v>
      </c>
      <c r="B136" s="21" t="s">
        <v>213</v>
      </c>
      <c r="C136" s="21" t="s">
        <v>215</v>
      </c>
      <c r="D136" s="21"/>
      <c r="E136" s="21">
        <v>2.04</v>
      </c>
      <c r="F136" s="21">
        <v>2.04</v>
      </c>
      <c r="G136" s="30">
        <f t="shared" si="1"/>
        <v>2.04</v>
      </c>
      <c r="H136" s="30">
        <f t="shared" si="4"/>
        <v>2.04</v>
      </c>
      <c r="I136" s="31">
        <f t="shared" si="3"/>
        <v>0</v>
      </c>
    </row>
    <row r="137" ht="22.5" customHeight="1">
      <c r="A137" s="35">
        <v>46066.0</v>
      </c>
      <c r="B137" s="21" t="s">
        <v>213</v>
      </c>
      <c r="C137" s="21" t="s">
        <v>216</v>
      </c>
      <c r="D137" s="21"/>
      <c r="E137" s="21">
        <v>1.31</v>
      </c>
      <c r="F137" s="21">
        <v>1.65</v>
      </c>
      <c r="G137" s="30">
        <f t="shared" si="1"/>
        <v>1.48</v>
      </c>
      <c r="H137" s="30">
        <f t="shared" si="4"/>
        <v>1.565</v>
      </c>
      <c r="I137" s="31">
        <f t="shared" si="3"/>
        <v>0.2297297297</v>
      </c>
    </row>
    <row r="138" ht="22.5" customHeight="1">
      <c r="A138" s="35">
        <v>46066.0</v>
      </c>
      <c r="B138" s="21" t="s">
        <v>133</v>
      </c>
      <c r="C138" s="21" t="s">
        <v>217</v>
      </c>
      <c r="D138" s="21"/>
      <c r="E138" s="21">
        <v>4000.0</v>
      </c>
      <c r="F138" s="21">
        <v>5500.0</v>
      </c>
      <c r="G138" s="30">
        <f t="shared" si="1"/>
        <v>4750</v>
      </c>
      <c r="H138" s="30">
        <f t="shared" si="4"/>
        <v>5125</v>
      </c>
      <c r="I138" s="31">
        <f t="shared" si="3"/>
        <v>0.3157894737</v>
      </c>
    </row>
    <row r="139" ht="22.5" customHeight="1">
      <c r="A139" s="35">
        <v>46066.0</v>
      </c>
      <c r="B139" s="21" t="s">
        <v>133</v>
      </c>
      <c r="C139" s="21" t="s">
        <v>218</v>
      </c>
      <c r="D139" s="21"/>
      <c r="E139" s="21">
        <v>2500.0</v>
      </c>
      <c r="F139" s="21">
        <v>4000.0</v>
      </c>
      <c r="G139" s="30">
        <f t="shared" si="1"/>
        <v>3250</v>
      </c>
      <c r="H139" s="30">
        <f t="shared" si="4"/>
        <v>3625</v>
      </c>
      <c r="I139" s="31">
        <f t="shared" si="3"/>
        <v>0.4615384615</v>
      </c>
    </row>
    <row r="140" ht="22.5" customHeight="1">
      <c r="A140" s="35">
        <v>46066.0</v>
      </c>
      <c r="B140" s="21" t="s">
        <v>133</v>
      </c>
      <c r="C140" s="21" t="s">
        <v>219</v>
      </c>
      <c r="D140" s="21"/>
      <c r="E140" s="21">
        <v>3400.0</v>
      </c>
      <c r="F140" s="21">
        <v>4750.0</v>
      </c>
      <c r="G140" s="30">
        <f t="shared" si="1"/>
        <v>4075</v>
      </c>
      <c r="H140" s="30">
        <f t="shared" si="4"/>
        <v>4412.5</v>
      </c>
      <c r="I140" s="31">
        <f t="shared" si="3"/>
        <v>0.3312883436</v>
      </c>
    </row>
    <row r="141" ht="22.5" customHeight="1">
      <c r="A141" s="35">
        <v>46066.0</v>
      </c>
      <c r="B141" s="21" t="s">
        <v>133</v>
      </c>
      <c r="C141" s="21" t="s">
        <v>220</v>
      </c>
      <c r="D141" s="21"/>
      <c r="E141" s="21">
        <v>1750.0</v>
      </c>
      <c r="F141" s="21">
        <v>3000.0</v>
      </c>
      <c r="G141" s="30">
        <f t="shared" si="1"/>
        <v>2375</v>
      </c>
      <c r="H141" s="30">
        <f t="shared" si="4"/>
        <v>2687.5</v>
      </c>
      <c r="I141" s="31">
        <f t="shared" si="3"/>
        <v>0.5263157895</v>
      </c>
    </row>
    <row r="142" ht="22.5" customHeight="1">
      <c r="A142" s="35">
        <v>46066.0</v>
      </c>
      <c r="B142" s="21" t="s">
        <v>120</v>
      </c>
      <c r="C142" s="21" t="s">
        <v>221</v>
      </c>
      <c r="D142" s="21" t="s">
        <v>222</v>
      </c>
      <c r="E142" s="21">
        <v>6.0</v>
      </c>
      <c r="F142" s="21">
        <v>7.6</v>
      </c>
      <c r="G142" s="30">
        <f t="shared" si="1"/>
        <v>6.8</v>
      </c>
      <c r="H142" s="30">
        <f t="shared" si="4"/>
        <v>7.2</v>
      </c>
      <c r="I142" s="31">
        <f t="shared" si="3"/>
        <v>0.2352941176</v>
      </c>
    </row>
    <row r="143" ht="22.5" customHeight="1">
      <c r="A143" s="35">
        <v>46066.0</v>
      </c>
      <c r="B143" s="21" t="s">
        <v>120</v>
      </c>
      <c r="C143" s="21" t="s">
        <v>223</v>
      </c>
      <c r="D143" s="21" t="s">
        <v>222</v>
      </c>
      <c r="E143" s="21">
        <v>4.2</v>
      </c>
      <c r="F143" s="21">
        <v>6.6</v>
      </c>
      <c r="G143" s="30">
        <f t="shared" si="1"/>
        <v>5.4</v>
      </c>
      <c r="H143" s="30">
        <f t="shared" si="4"/>
        <v>6</v>
      </c>
      <c r="I143" s="31">
        <f t="shared" si="3"/>
        <v>0.4444444444</v>
      </c>
    </row>
    <row r="144" ht="22.5" customHeight="1">
      <c r="A144" s="35">
        <v>46066.0</v>
      </c>
      <c r="B144" s="21" t="s">
        <v>120</v>
      </c>
      <c r="C144" s="21" t="s">
        <v>224</v>
      </c>
      <c r="D144" s="21" t="s">
        <v>222</v>
      </c>
      <c r="E144" s="21">
        <v>3.5</v>
      </c>
      <c r="F144" s="21">
        <v>6.55</v>
      </c>
      <c r="G144" s="30">
        <f t="shared" si="1"/>
        <v>5.025</v>
      </c>
      <c r="H144" s="30">
        <f t="shared" si="4"/>
        <v>5.7875</v>
      </c>
      <c r="I144" s="31">
        <f t="shared" si="3"/>
        <v>0.6069651741</v>
      </c>
    </row>
    <row r="145" ht="22.5" customHeight="1">
      <c r="A145" s="35">
        <v>46066.0</v>
      </c>
      <c r="B145" s="21" t="s">
        <v>120</v>
      </c>
      <c r="C145" s="21" t="s">
        <v>225</v>
      </c>
      <c r="D145" s="21" t="s">
        <v>222</v>
      </c>
      <c r="E145" s="21">
        <v>3.3</v>
      </c>
      <c r="F145" s="21">
        <v>5.55</v>
      </c>
      <c r="G145" s="30">
        <f t="shared" si="1"/>
        <v>4.425</v>
      </c>
      <c r="H145" s="30">
        <f t="shared" si="4"/>
        <v>4.9875</v>
      </c>
      <c r="I145" s="31">
        <f t="shared" si="3"/>
        <v>0.5084745763</v>
      </c>
    </row>
    <row r="146" ht="22.5" customHeight="1">
      <c r="A146" s="35">
        <v>46066.0</v>
      </c>
      <c r="B146" s="21" t="s">
        <v>120</v>
      </c>
      <c r="C146" s="21" t="s">
        <v>226</v>
      </c>
      <c r="D146" s="21" t="s">
        <v>222</v>
      </c>
      <c r="E146" s="21">
        <v>3.1</v>
      </c>
      <c r="F146" s="21">
        <v>5.32</v>
      </c>
      <c r="G146" s="30">
        <f t="shared" si="1"/>
        <v>4.21</v>
      </c>
      <c r="H146" s="30">
        <f t="shared" si="4"/>
        <v>4.765</v>
      </c>
      <c r="I146" s="31">
        <f t="shared" si="3"/>
        <v>0.5273159145</v>
      </c>
    </row>
    <row r="147" ht="22.5" customHeight="1">
      <c r="A147" s="35">
        <v>46066.0</v>
      </c>
      <c r="B147" s="21" t="s">
        <v>120</v>
      </c>
      <c r="C147" s="21" t="s">
        <v>227</v>
      </c>
      <c r="D147" s="21" t="s">
        <v>222</v>
      </c>
      <c r="E147" s="21">
        <v>2.9</v>
      </c>
      <c r="F147" s="21">
        <v>4.27</v>
      </c>
      <c r="G147" s="30">
        <f t="shared" si="1"/>
        <v>3.585</v>
      </c>
      <c r="H147" s="30">
        <f t="shared" si="4"/>
        <v>3.9275</v>
      </c>
      <c r="I147" s="31">
        <f t="shared" si="3"/>
        <v>0.3821478382</v>
      </c>
    </row>
    <row r="148" ht="22.5" customHeight="1">
      <c r="A148" s="35">
        <v>46066.0</v>
      </c>
      <c r="B148" s="21" t="s">
        <v>120</v>
      </c>
      <c r="C148" s="21" t="s">
        <v>228</v>
      </c>
      <c r="D148" s="21" t="s">
        <v>222</v>
      </c>
      <c r="E148" s="21">
        <v>2.4</v>
      </c>
      <c r="F148" s="21">
        <v>3.8</v>
      </c>
      <c r="G148" s="30">
        <f t="shared" si="1"/>
        <v>3.1</v>
      </c>
      <c r="H148" s="30">
        <f t="shared" si="4"/>
        <v>3.45</v>
      </c>
      <c r="I148" s="31">
        <f t="shared" si="3"/>
        <v>0.4516129032</v>
      </c>
    </row>
    <row r="149" ht="22.5" customHeight="1">
      <c r="A149" s="35">
        <v>46066.0</v>
      </c>
      <c r="B149" s="21" t="s">
        <v>120</v>
      </c>
      <c r="C149" s="21" t="s">
        <v>229</v>
      </c>
      <c r="D149" s="21" t="s">
        <v>222</v>
      </c>
      <c r="E149" s="21">
        <v>2.2</v>
      </c>
      <c r="F149" s="21">
        <v>3.52</v>
      </c>
      <c r="G149" s="30">
        <f t="shared" si="1"/>
        <v>2.86</v>
      </c>
      <c r="H149" s="30">
        <f t="shared" si="4"/>
        <v>3.19</v>
      </c>
      <c r="I149" s="31">
        <f t="shared" si="3"/>
        <v>0.4615384615</v>
      </c>
    </row>
    <row r="150" ht="22.5" customHeight="1">
      <c r="A150" s="35">
        <v>46066.0</v>
      </c>
      <c r="B150" s="21" t="s">
        <v>129</v>
      </c>
      <c r="C150" s="21" t="s">
        <v>221</v>
      </c>
      <c r="D150" s="21" t="s">
        <v>222</v>
      </c>
      <c r="E150" s="21">
        <v>4.9</v>
      </c>
      <c r="F150" s="21">
        <v>7.1</v>
      </c>
      <c r="G150" s="30">
        <f t="shared" si="1"/>
        <v>6</v>
      </c>
      <c r="H150" s="30">
        <f t="shared" si="4"/>
        <v>6.55</v>
      </c>
      <c r="I150" s="31">
        <f t="shared" si="3"/>
        <v>0.3666666667</v>
      </c>
    </row>
    <row r="151" ht="22.5" customHeight="1">
      <c r="A151" s="35">
        <v>46066.0</v>
      </c>
      <c r="B151" s="21" t="s">
        <v>129</v>
      </c>
      <c r="C151" s="21" t="s">
        <v>223</v>
      </c>
      <c r="D151" s="21" t="s">
        <v>222</v>
      </c>
      <c r="E151" s="21">
        <v>3.85</v>
      </c>
      <c r="F151" s="21">
        <v>6.3</v>
      </c>
      <c r="G151" s="30">
        <f t="shared" si="1"/>
        <v>5.075</v>
      </c>
      <c r="H151" s="30">
        <f t="shared" si="4"/>
        <v>5.6875</v>
      </c>
      <c r="I151" s="31">
        <f t="shared" si="3"/>
        <v>0.4827586207</v>
      </c>
    </row>
    <row r="152" ht="22.5" customHeight="1">
      <c r="A152" s="35">
        <v>46066.0</v>
      </c>
      <c r="B152" s="21" t="s">
        <v>129</v>
      </c>
      <c r="C152" s="21" t="s">
        <v>224</v>
      </c>
      <c r="D152" s="21" t="s">
        <v>222</v>
      </c>
      <c r="E152" s="21">
        <v>3.2</v>
      </c>
      <c r="F152" s="21">
        <v>6.05</v>
      </c>
      <c r="G152" s="30">
        <f t="shared" si="1"/>
        <v>4.625</v>
      </c>
      <c r="H152" s="30">
        <f t="shared" si="4"/>
        <v>5.3375</v>
      </c>
      <c r="I152" s="31">
        <f t="shared" si="3"/>
        <v>0.6162162162</v>
      </c>
    </row>
    <row r="153" ht="22.5" customHeight="1">
      <c r="A153" s="35">
        <v>46066.0</v>
      </c>
      <c r="B153" s="21" t="s">
        <v>129</v>
      </c>
      <c r="C153" s="21" t="s">
        <v>225</v>
      </c>
      <c r="D153" s="21" t="s">
        <v>222</v>
      </c>
      <c r="E153" s="21">
        <v>3.1</v>
      </c>
      <c r="F153" s="21">
        <v>5.4</v>
      </c>
      <c r="G153" s="30">
        <f t="shared" si="1"/>
        <v>4.25</v>
      </c>
      <c r="H153" s="30">
        <f t="shared" si="4"/>
        <v>4.825</v>
      </c>
      <c r="I153" s="31">
        <f t="shared" si="3"/>
        <v>0.5411764706</v>
      </c>
    </row>
    <row r="154" ht="22.5" customHeight="1">
      <c r="A154" s="35">
        <v>46066.0</v>
      </c>
      <c r="B154" s="21" t="s">
        <v>129</v>
      </c>
      <c r="C154" s="21" t="s">
        <v>226</v>
      </c>
      <c r="D154" s="21" t="s">
        <v>222</v>
      </c>
      <c r="E154" s="21">
        <v>2.95</v>
      </c>
      <c r="F154" s="21">
        <v>4.7</v>
      </c>
      <c r="G154" s="30">
        <f t="shared" si="1"/>
        <v>3.825</v>
      </c>
      <c r="H154" s="30">
        <f t="shared" si="4"/>
        <v>4.2625</v>
      </c>
      <c r="I154" s="31">
        <f t="shared" si="3"/>
        <v>0.4575163399</v>
      </c>
    </row>
    <row r="155" ht="22.5" customHeight="1">
      <c r="A155" s="35">
        <v>46066.0</v>
      </c>
      <c r="B155" s="21" t="s">
        <v>129</v>
      </c>
      <c r="C155" s="21" t="s">
        <v>227</v>
      </c>
      <c r="D155" s="21" t="s">
        <v>222</v>
      </c>
      <c r="E155" s="21">
        <v>2.25</v>
      </c>
      <c r="F155" s="21">
        <v>3.87</v>
      </c>
      <c r="G155" s="30">
        <f t="shared" si="1"/>
        <v>3.06</v>
      </c>
      <c r="H155" s="30">
        <f t="shared" si="4"/>
        <v>3.465</v>
      </c>
      <c r="I155" s="31">
        <f t="shared" si="3"/>
        <v>0.5294117647</v>
      </c>
    </row>
    <row r="156" ht="22.5" customHeight="1">
      <c r="A156" s="35">
        <v>46066.0</v>
      </c>
      <c r="B156" s="21" t="s">
        <v>129</v>
      </c>
      <c r="C156" s="21" t="s">
        <v>228</v>
      </c>
      <c r="D156" s="21" t="s">
        <v>222</v>
      </c>
      <c r="E156" s="21">
        <v>2.4</v>
      </c>
      <c r="F156" s="21">
        <v>3.35</v>
      </c>
      <c r="G156" s="30">
        <f t="shared" si="1"/>
        <v>2.875</v>
      </c>
      <c r="H156" s="30">
        <f t="shared" si="4"/>
        <v>3.1125</v>
      </c>
      <c r="I156" s="31">
        <f t="shared" si="3"/>
        <v>0.3304347826</v>
      </c>
    </row>
    <row r="157" ht="22.5" customHeight="1">
      <c r="A157" s="35">
        <v>46066.0</v>
      </c>
      <c r="B157" s="21" t="s">
        <v>129</v>
      </c>
      <c r="C157" s="21" t="s">
        <v>229</v>
      </c>
      <c r="D157" s="21" t="s">
        <v>222</v>
      </c>
      <c r="E157" s="21">
        <v>2.35</v>
      </c>
      <c r="F157" s="21">
        <v>2.85</v>
      </c>
      <c r="G157" s="30">
        <f t="shared" si="1"/>
        <v>2.6</v>
      </c>
      <c r="H157" s="30">
        <f t="shared" si="4"/>
        <v>2.725</v>
      </c>
      <c r="I157" s="31">
        <f t="shared" si="3"/>
        <v>0.1923076923</v>
      </c>
    </row>
    <row r="158" ht="22.5" customHeight="1">
      <c r="A158" s="35">
        <v>46073.0</v>
      </c>
      <c r="B158" s="21" t="s">
        <v>136</v>
      </c>
      <c r="C158" s="21" t="s">
        <v>210</v>
      </c>
      <c r="D158" s="21"/>
      <c r="E158" s="21">
        <v>0.8</v>
      </c>
      <c r="F158" s="21">
        <v>1.39</v>
      </c>
      <c r="G158" s="30">
        <f t="shared" si="1"/>
        <v>1.095</v>
      </c>
      <c r="H158" s="30">
        <f t="shared" si="4"/>
        <v>1.2425</v>
      </c>
      <c r="I158" s="31">
        <f t="shared" si="3"/>
        <v>0.5388127854</v>
      </c>
    </row>
    <row r="159" ht="22.5" customHeight="1">
      <c r="A159" s="35">
        <v>46073.0</v>
      </c>
      <c r="B159" s="21" t="s">
        <v>136</v>
      </c>
      <c r="C159" s="21" t="s">
        <v>211</v>
      </c>
      <c r="D159" s="21"/>
      <c r="E159" s="21">
        <v>1.3</v>
      </c>
      <c r="F159" s="21">
        <v>1.59</v>
      </c>
      <c r="G159" s="30">
        <f t="shared" si="1"/>
        <v>1.445</v>
      </c>
      <c r="H159" s="30">
        <f t="shared" si="4"/>
        <v>1.5175</v>
      </c>
      <c r="I159" s="31">
        <f t="shared" si="3"/>
        <v>0.2006920415</v>
      </c>
    </row>
    <row r="160" ht="22.5" customHeight="1">
      <c r="A160" s="35">
        <v>46073.0</v>
      </c>
      <c r="B160" s="21" t="s">
        <v>136</v>
      </c>
      <c r="C160" s="21" t="s">
        <v>212</v>
      </c>
      <c r="D160" s="21"/>
      <c r="E160" s="21">
        <v>1.6</v>
      </c>
      <c r="F160" s="21">
        <v>1.84</v>
      </c>
      <c r="G160" s="30">
        <f t="shared" si="1"/>
        <v>1.72</v>
      </c>
      <c r="H160" s="30">
        <f t="shared" si="4"/>
        <v>1.78</v>
      </c>
      <c r="I160" s="31">
        <f t="shared" si="3"/>
        <v>0.1395348837</v>
      </c>
    </row>
    <row r="161" ht="22.5" customHeight="1">
      <c r="A161" s="35">
        <v>46073.0</v>
      </c>
      <c r="B161" s="21" t="s">
        <v>213</v>
      </c>
      <c r="C161" s="21" t="s">
        <v>214</v>
      </c>
      <c r="D161" s="21"/>
      <c r="E161" s="21">
        <v>1.67</v>
      </c>
      <c r="F161" s="21">
        <v>2.15</v>
      </c>
      <c r="G161" s="30">
        <f t="shared" si="1"/>
        <v>1.91</v>
      </c>
      <c r="H161" s="30">
        <f t="shared" si="4"/>
        <v>2.03</v>
      </c>
      <c r="I161" s="31">
        <f t="shared" si="3"/>
        <v>0.2513089005</v>
      </c>
    </row>
    <row r="162" ht="22.5" customHeight="1">
      <c r="A162" s="35">
        <v>46073.0</v>
      </c>
      <c r="B162" s="21" t="s">
        <v>213</v>
      </c>
      <c r="C162" s="21" t="s">
        <v>215</v>
      </c>
      <c r="D162" s="21"/>
      <c r="E162" s="21">
        <v>2.24</v>
      </c>
      <c r="F162" s="21">
        <v>2.24</v>
      </c>
      <c r="G162" s="30">
        <f t="shared" si="1"/>
        <v>2.24</v>
      </c>
      <c r="H162" s="30">
        <f t="shared" si="4"/>
        <v>2.24</v>
      </c>
      <c r="I162" s="31">
        <f t="shared" si="3"/>
        <v>0</v>
      </c>
    </row>
    <row r="163" ht="22.5" customHeight="1">
      <c r="A163" s="35">
        <v>46073.0</v>
      </c>
      <c r="B163" s="21" t="s">
        <v>213</v>
      </c>
      <c r="C163" s="21" t="s">
        <v>216</v>
      </c>
      <c r="D163" s="21"/>
      <c r="E163" s="21">
        <v>1.31</v>
      </c>
      <c r="F163" s="21">
        <v>1.65</v>
      </c>
      <c r="G163" s="30">
        <f t="shared" si="1"/>
        <v>1.48</v>
      </c>
      <c r="H163" s="30">
        <f t="shared" si="4"/>
        <v>1.565</v>
      </c>
      <c r="I163" s="31">
        <f t="shared" si="3"/>
        <v>0.2297297297</v>
      </c>
    </row>
    <row r="164" ht="22.5" customHeight="1">
      <c r="A164" s="35">
        <v>46073.0</v>
      </c>
      <c r="B164" s="21" t="s">
        <v>133</v>
      </c>
      <c r="C164" s="21" t="s">
        <v>217</v>
      </c>
      <c r="D164" s="21"/>
      <c r="E164" s="21">
        <v>4000.0</v>
      </c>
      <c r="F164" s="21">
        <v>5500.0</v>
      </c>
      <c r="G164" s="30">
        <f t="shared" si="1"/>
        <v>4750</v>
      </c>
      <c r="H164" s="30">
        <f t="shared" si="4"/>
        <v>5125</v>
      </c>
      <c r="I164" s="31">
        <f t="shared" si="3"/>
        <v>0.3157894737</v>
      </c>
    </row>
    <row r="165" ht="22.5" customHeight="1">
      <c r="A165" s="35">
        <v>46073.0</v>
      </c>
      <c r="B165" s="21" t="s">
        <v>133</v>
      </c>
      <c r="C165" s="21" t="s">
        <v>218</v>
      </c>
      <c r="D165" s="21"/>
      <c r="E165" s="21">
        <v>2500.0</v>
      </c>
      <c r="F165" s="21">
        <v>4000.0</v>
      </c>
      <c r="G165" s="30">
        <f t="shared" si="1"/>
        <v>3250</v>
      </c>
      <c r="H165" s="30">
        <f t="shared" si="4"/>
        <v>3625</v>
      </c>
      <c r="I165" s="31">
        <f t="shared" si="3"/>
        <v>0.4615384615</v>
      </c>
    </row>
    <row r="166" ht="22.5" customHeight="1">
      <c r="A166" s="35">
        <v>46073.0</v>
      </c>
      <c r="B166" s="21" t="s">
        <v>133</v>
      </c>
      <c r="C166" s="21" t="s">
        <v>219</v>
      </c>
      <c r="D166" s="21"/>
      <c r="E166" s="21">
        <v>3400.0</v>
      </c>
      <c r="F166" s="21">
        <v>4750.0</v>
      </c>
      <c r="G166" s="30">
        <f t="shared" si="1"/>
        <v>4075</v>
      </c>
      <c r="H166" s="30">
        <f t="shared" si="4"/>
        <v>4412.5</v>
      </c>
      <c r="I166" s="31">
        <f t="shared" si="3"/>
        <v>0.3312883436</v>
      </c>
    </row>
    <row r="167" ht="22.5" customHeight="1">
      <c r="A167" s="35">
        <v>46073.0</v>
      </c>
      <c r="B167" s="21" t="s">
        <v>133</v>
      </c>
      <c r="C167" s="21" t="s">
        <v>220</v>
      </c>
      <c r="D167" s="21"/>
      <c r="E167" s="21">
        <v>1750.0</v>
      </c>
      <c r="F167" s="21">
        <v>3000.0</v>
      </c>
      <c r="G167" s="30">
        <f t="shared" si="1"/>
        <v>2375</v>
      </c>
      <c r="H167" s="30">
        <f t="shared" si="4"/>
        <v>2687.5</v>
      </c>
      <c r="I167" s="31">
        <f t="shared" si="3"/>
        <v>0.5263157895</v>
      </c>
    </row>
    <row r="168" ht="22.5" customHeight="1">
      <c r="A168" s="35">
        <v>46073.0</v>
      </c>
      <c r="B168" s="21" t="s">
        <v>120</v>
      </c>
      <c r="C168" s="21" t="s">
        <v>221</v>
      </c>
      <c r="D168" s="21" t="s">
        <v>222</v>
      </c>
      <c r="E168" s="21">
        <v>6.0</v>
      </c>
      <c r="F168" s="21">
        <v>7.4</v>
      </c>
      <c r="G168" s="30">
        <f t="shared" si="1"/>
        <v>6.7</v>
      </c>
      <c r="H168" s="30">
        <f t="shared" si="4"/>
        <v>7.05</v>
      </c>
      <c r="I168" s="31">
        <f t="shared" si="3"/>
        <v>0.2089552239</v>
      </c>
    </row>
    <row r="169" ht="22.5" customHeight="1">
      <c r="A169" s="35">
        <v>46073.0</v>
      </c>
      <c r="B169" s="21" t="s">
        <v>120</v>
      </c>
      <c r="C169" s="21" t="s">
        <v>223</v>
      </c>
      <c r="D169" s="21" t="s">
        <v>222</v>
      </c>
      <c r="E169" s="21">
        <v>4.2</v>
      </c>
      <c r="F169" s="21">
        <v>7.0</v>
      </c>
      <c r="G169" s="30">
        <f t="shared" si="1"/>
        <v>5.6</v>
      </c>
      <c r="H169" s="30">
        <f t="shared" si="4"/>
        <v>6.3</v>
      </c>
      <c r="I169" s="31">
        <f t="shared" si="3"/>
        <v>0.5</v>
      </c>
    </row>
    <row r="170" ht="22.5" customHeight="1">
      <c r="A170" s="35">
        <v>46073.0</v>
      </c>
      <c r="B170" s="21" t="s">
        <v>120</v>
      </c>
      <c r="C170" s="21" t="s">
        <v>224</v>
      </c>
      <c r="D170" s="21" t="s">
        <v>222</v>
      </c>
      <c r="E170" s="21">
        <v>3.5</v>
      </c>
      <c r="F170" s="21">
        <v>6.5</v>
      </c>
      <c r="G170" s="30">
        <f t="shared" si="1"/>
        <v>5</v>
      </c>
      <c r="H170" s="30">
        <f t="shared" si="4"/>
        <v>5.75</v>
      </c>
      <c r="I170" s="31">
        <f t="shared" si="3"/>
        <v>0.6</v>
      </c>
    </row>
    <row r="171" ht="22.5" customHeight="1">
      <c r="A171" s="35">
        <v>46073.0</v>
      </c>
      <c r="B171" s="21" t="s">
        <v>120</v>
      </c>
      <c r="C171" s="21" t="s">
        <v>225</v>
      </c>
      <c r="D171" s="21" t="s">
        <v>222</v>
      </c>
      <c r="E171" s="21">
        <v>3.3</v>
      </c>
      <c r="F171" s="21">
        <v>5.55</v>
      </c>
      <c r="G171" s="30">
        <f t="shared" si="1"/>
        <v>4.425</v>
      </c>
      <c r="H171" s="30">
        <f t="shared" si="4"/>
        <v>4.9875</v>
      </c>
      <c r="I171" s="31">
        <f t="shared" si="3"/>
        <v>0.5084745763</v>
      </c>
    </row>
    <row r="172" ht="22.5" customHeight="1">
      <c r="A172" s="35">
        <v>46073.0</v>
      </c>
      <c r="B172" s="21" t="s">
        <v>120</v>
      </c>
      <c r="C172" s="21" t="s">
        <v>226</v>
      </c>
      <c r="D172" s="21" t="s">
        <v>222</v>
      </c>
      <c r="E172" s="21">
        <v>3.1</v>
      </c>
      <c r="F172" s="21">
        <v>5.0</v>
      </c>
      <c r="G172" s="30">
        <f t="shared" si="1"/>
        <v>4.05</v>
      </c>
      <c r="H172" s="30">
        <f t="shared" si="4"/>
        <v>4.525</v>
      </c>
      <c r="I172" s="31">
        <f t="shared" si="3"/>
        <v>0.4691358025</v>
      </c>
    </row>
    <row r="173" ht="22.5" customHeight="1">
      <c r="A173" s="35">
        <v>46073.0</v>
      </c>
      <c r="B173" s="21" t="s">
        <v>120</v>
      </c>
      <c r="C173" s="21" t="s">
        <v>227</v>
      </c>
      <c r="D173" s="21" t="s">
        <v>222</v>
      </c>
      <c r="E173" s="21">
        <v>2.9</v>
      </c>
      <c r="F173" s="21">
        <v>4.42</v>
      </c>
      <c r="G173" s="30">
        <f t="shared" si="1"/>
        <v>3.66</v>
      </c>
      <c r="H173" s="30">
        <f t="shared" si="4"/>
        <v>4.04</v>
      </c>
      <c r="I173" s="31">
        <f t="shared" si="3"/>
        <v>0.4153005464</v>
      </c>
    </row>
    <row r="174" ht="22.5" customHeight="1">
      <c r="A174" s="35">
        <v>46073.0</v>
      </c>
      <c r="B174" s="21" t="s">
        <v>120</v>
      </c>
      <c r="C174" s="21" t="s">
        <v>228</v>
      </c>
      <c r="D174" s="21" t="s">
        <v>222</v>
      </c>
      <c r="E174" s="21">
        <v>2.4</v>
      </c>
      <c r="F174" s="21">
        <v>3.75</v>
      </c>
      <c r="G174" s="30">
        <f t="shared" si="1"/>
        <v>3.075</v>
      </c>
      <c r="H174" s="30">
        <f t="shared" si="4"/>
        <v>3.4125</v>
      </c>
      <c r="I174" s="31">
        <f t="shared" si="3"/>
        <v>0.4390243902</v>
      </c>
    </row>
    <row r="175" ht="22.5" customHeight="1">
      <c r="A175" s="35">
        <v>46073.0</v>
      </c>
      <c r="B175" s="21" t="s">
        <v>120</v>
      </c>
      <c r="C175" s="21" t="s">
        <v>229</v>
      </c>
      <c r="D175" s="21" t="s">
        <v>222</v>
      </c>
      <c r="E175" s="21">
        <v>2.2</v>
      </c>
      <c r="F175" s="21">
        <v>3.02</v>
      </c>
      <c r="G175" s="30">
        <f t="shared" si="1"/>
        <v>2.61</v>
      </c>
      <c r="H175" s="30">
        <f t="shared" si="4"/>
        <v>2.815</v>
      </c>
      <c r="I175" s="31">
        <f t="shared" si="3"/>
        <v>0.3141762452</v>
      </c>
    </row>
    <row r="176" ht="22.5" customHeight="1">
      <c r="A176" s="35">
        <v>46073.0</v>
      </c>
      <c r="B176" s="21" t="s">
        <v>129</v>
      </c>
      <c r="C176" s="21" t="s">
        <v>221</v>
      </c>
      <c r="D176" s="21" t="s">
        <v>222</v>
      </c>
      <c r="E176" s="21">
        <v>4.9</v>
      </c>
      <c r="F176" s="21">
        <v>7.2</v>
      </c>
      <c r="G176" s="30">
        <f t="shared" si="1"/>
        <v>6.05</v>
      </c>
      <c r="H176" s="30">
        <f t="shared" si="4"/>
        <v>6.625</v>
      </c>
      <c r="I176" s="31">
        <f t="shared" si="3"/>
        <v>0.3801652893</v>
      </c>
    </row>
    <row r="177" ht="22.5" customHeight="1">
      <c r="A177" s="35">
        <v>46073.0</v>
      </c>
      <c r="B177" s="21" t="s">
        <v>129</v>
      </c>
      <c r="C177" s="21" t="s">
        <v>223</v>
      </c>
      <c r="D177" s="21" t="s">
        <v>222</v>
      </c>
      <c r="E177" s="21">
        <v>3.85</v>
      </c>
      <c r="F177" s="21">
        <v>7.0</v>
      </c>
      <c r="G177" s="30">
        <f t="shared" si="1"/>
        <v>5.425</v>
      </c>
      <c r="H177" s="30">
        <f t="shared" si="4"/>
        <v>6.2125</v>
      </c>
      <c r="I177" s="31">
        <f t="shared" si="3"/>
        <v>0.5806451613</v>
      </c>
    </row>
    <row r="178" ht="22.5" customHeight="1">
      <c r="A178" s="35">
        <v>46073.0</v>
      </c>
      <c r="B178" s="21" t="s">
        <v>129</v>
      </c>
      <c r="C178" s="21" t="s">
        <v>224</v>
      </c>
      <c r="D178" s="21" t="s">
        <v>222</v>
      </c>
      <c r="E178" s="21">
        <v>3.5</v>
      </c>
      <c r="F178" s="21">
        <v>6.6</v>
      </c>
      <c r="G178" s="30">
        <f t="shared" si="1"/>
        <v>5.05</v>
      </c>
      <c r="H178" s="30">
        <f t="shared" si="4"/>
        <v>5.825</v>
      </c>
      <c r="I178" s="31">
        <f t="shared" si="3"/>
        <v>0.6138613861</v>
      </c>
    </row>
    <row r="179" ht="22.5" customHeight="1">
      <c r="A179" s="35">
        <v>46073.0</v>
      </c>
      <c r="B179" s="21" t="s">
        <v>129</v>
      </c>
      <c r="C179" s="21" t="s">
        <v>225</v>
      </c>
      <c r="D179" s="21" t="s">
        <v>222</v>
      </c>
      <c r="E179" s="21">
        <v>3.1</v>
      </c>
      <c r="F179" s="21">
        <v>5.05</v>
      </c>
      <c r="G179" s="30">
        <f t="shared" si="1"/>
        <v>4.075</v>
      </c>
      <c r="H179" s="30">
        <f t="shared" si="4"/>
        <v>4.5625</v>
      </c>
      <c r="I179" s="31">
        <f t="shared" si="3"/>
        <v>0.4785276074</v>
      </c>
    </row>
    <row r="180" ht="22.5" customHeight="1">
      <c r="A180" s="35">
        <v>46073.0</v>
      </c>
      <c r="B180" s="21" t="s">
        <v>129</v>
      </c>
      <c r="C180" s="21" t="s">
        <v>226</v>
      </c>
      <c r="D180" s="21" t="s">
        <v>222</v>
      </c>
      <c r="E180" s="21">
        <v>2.95</v>
      </c>
      <c r="F180" s="21">
        <v>4.7</v>
      </c>
      <c r="G180" s="30">
        <f t="shared" si="1"/>
        <v>3.825</v>
      </c>
      <c r="H180" s="30">
        <f t="shared" si="4"/>
        <v>4.2625</v>
      </c>
      <c r="I180" s="31">
        <f t="shared" si="3"/>
        <v>0.4575163399</v>
      </c>
    </row>
    <row r="181" ht="22.5" customHeight="1">
      <c r="A181" s="35">
        <v>46073.0</v>
      </c>
      <c r="B181" s="21" t="s">
        <v>129</v>
      </c>
      <c r="C181" s="21" t="s">
        <v>227</v>
      </c>
      <c r="D181" s="21" t="s">
        <v>222</v>
      </c>
      <c r="E181" s="21">
        <v>2.25</v>
      </c>
      <c r="F181" s="21">
        <v>3.95</v>
      </c>
      <c r="G181" s="30">
        <f t="shared" si="1"/>
        <v>3.1</v>
      </c>
      <c r="H181" s="30">
        <f t="shared" si="4"/>
        <v>3.525</v>
      </c>
      <c r="I181" s="31">
        <f t="shared" si="3"/>
        <v>0.5483870968</v>
      </c>
    </row>
    <row r="182" ht="22.5" customHeight="1">
      <c r="A182" s="35">
        <v>46073.0</v>
      </c>
      <c r="B182" s="21" t="s">
        <v>129</v>
      </c>
      <c r="C182" s="21" t="s">
        <v>228</v>
      </c>
      <c r="D182" s="21" t="s">
        <v>222</v>
      </c>
      <c r="E182" s="21">
        <v>2.4</v>
      </c>
      <c r="F182" s="21">
        <v>3.35</v>
      </c>
      <c r="G182" s="30">
        <f t="shared" si="1"/>
        <v>2.875</v>
      </c>
      <c r="H182" s="30">
        <f t="shared" si="4"/>
        <v>3.1125</v>
      </c>
      <c r="I182" s="31">
        <f t="shared" si="3"/>
        <v>0.3304347826</v>
      </c>
    </row>
    <row r="183" ht="22.5" customHeight="1">
      <c r="A183" s="35">
        <v>46073.0</v>
      </c>
      <c r="B183" s="21" t="s">
        <v>129</v>
      </c>
      <c r="C183" s="21" t="s">
        <v>229</v>
      </c>
      <c r="D183" s="21" t="s">
        <v>222</v>
      </c>
      <c r="E183" s="21">
        <v>2.35</v>
      </c>
      <c r="F183" s="21">
        <v>2.85</v>
      </c>
      <c r="G183" s="30">
        <f t="shared" si="1"/>
        <v>2.6</v>
      </c>
      <c r="H183" s="30">
        <f t="shared" si="4"/>
        <v>2.725</v>
      </c>
      <c r="I183" s="31">
        <f t="shared" si="3"/>
        <v>0.1923076923</v>
      </c>
    </row>
    <row r="184" ht="22.5" customHeight="1">
      <c r="A184" s="35">
        <v>45821.0</v>
      </c>
      <c r="B184" s="21" t="s">
        <v>136</v>
      </c>
      <c r="C184" s="21"/>
      <c r="D184" s="21" t="s">
        <v>210</v>
      </c>
      <c r="E184" s="21">
        <v>0.57</v>
      </c>
      <c r="F184" s="21">
        <v>1.2</v>
      </c>
      <c r="G184" s="30">
        <f t="shared" si="1"/>
        <v>0.885</v>
      </c>
      <c r="H184" s="30">
        <f t="shared" si="4"/>
        <v>1.0425</v>
      </c>
      <c r="I184" s="31">
        <f t="shared" si="3"/>
        <v>0.7118644068</v>
      </c>
    </row>
    <row r="185" ht="22.5" customHeight="1">
      <c r="A185" s="35">
        <v>45821.0</v>
      </c>
      <c r="B185" s="21" t="s">
        <v>136</v>
      </c>
      <c r="C185" s="21"/>
      <c r="D185" s="21" t="s">
        <v>211</v>
      </c>
      <c r="E185" s="21">
        <v>1.2</v>
      </c>
      <c r="F185" s="21">
        <v>1.5</v>
      </c>
      <c r="G185" s="30">
        <f t="shared" si="1"/>
        <v>1.35</v>
      </c>
      <c r="H185" s="30">
        <f t="shared" si="4"/>
        <v>1.425</v>
      </c>
      <c r="I185" s="31">
        <f t="shared" si="3"/>
        <v>0.2222222222</v>
      </c>
    </row>
    <row r="186" ht="22.5" customHeight="1">
      <c r="A186" s="35">
        <v>45821.0</v>
      </c>
      <c r="B186" s="21" t="s">
        <v>136</v>
      </c>
      <c r="C186" s="21"/>
      <c r="D186" s="21" t="s">
        <v>212</v>
      </c>
      <c r="E186" s="21">
        <v>1.51</v>
      </c>
      <c r="F186" s="21">
        <v>1.69</v>
      </c>
      <c r="G186" s="30">
        <f t="shared" si="1"/>
        <v>1.6</v>
      </c>
      <c r="H186" s="30">
        <f t="shared" si="4"/>
        <v>1.645</v>
      </c>
      <c r="I186" s="31">
        <f t="shared" si="3"/>
        <v>0.1125</v>
      </c>
    </row>
    <row r="187" ht="22.5" customHeight="1">
      <c r="A187" s="35">
        <v>45821.0</v>
      </c>
      <c r="B187" s="21" t="s">
        <v>139</v>
      </c>
      <c r="C187" s="21"/>
      <c r="D187" s="21" t="s">
        <v>214</v>
      </c>
      <c r="E187" s="21">
        <v>1.6</v>
      </c>
      <c r="F187" s="21">
        <v>1.89</v>
      </c>
      <c r="G187" s="30">
        <f t="shared" si="1"/>
        <v>1.745</v>
      </c>
      <c r="H187" s="30">
        <f t="shared" si="4"/>
        <v>1.8175</v>
      </c>
      <c r="I187" s="31">
        <f t="shared" si="3"/>
        <v>0.1661891117</v>
      </c>
    </row>
    <row r="188" ht="22.5" customHeight="1">
      <c r="A188" s="35">
        <v>45821.0</v>
      </c>
      <c r="B188" s="21" t="s">
        <v>139</v>
      </c>
      <c r="C188" s="21"/>
      <c r="D188" s="21" t="s">
        <v>215</v>
      </c>
      <c r="E188" s="21">
        <v>2.05</v>
      </c>
      <c r="F188" s="21">
        <v>2.05</v>
      </c>
      <c r="G188" s="30">
        <f t="shared" si="1"/>
        <v>2.05</v>
      </c>
      <c r="H188" s="30">
        <f t="shared" si="4"/>
        <v>2.05</v>
      </c>
      <c r="I188" s="31">
        <f t="shared" si="3"/>
        <v>0</v>
      </c>
    </row>
    <row r="189" ht="22.5" customHeight="1">
      <c r="A189" s="35">
        <v>45821.0</v>
      </c>
      <c r="B189" s="21" t="s">
        <v>139</v>
      </c>
      <c r="C189" s="21"/>
      <c r="D189" s="21" t="s">
        <v>216</v>
      </c>
      <c r="E189" s="21">
        <v>1.4</v>
      </c>
      <c r="F189" s="21">
        <v>1.58</v>
      </c>
      <c r="G189" s="30">
        <f t="shared" si="1"/>
        <v>1.49</v>
      </c>
      <c r="H189" s="30">
        <f t="shared" si="4"/>
        <v>1.535</v>
      </c>
      <c r="I189" s="31">
        <f t="shared" si="3"/>
        <v>0.1208053691</v>
      </c>
    </row>
    <row r="190" ht="22.5" customHeight="1">
      <c r="A190" s="35">
        <v>45821.0</v>
      </c>
      <c r="B190" s="21" t="s">
        <v>133</v>
      </c>
      <c r="C190" s="21"/>
      <c r="D190" s="21" t="s">
        <v>217</v>
      </c>
      <c r="E190" s="21">
        <v>3000.0</v>
      </c>
      <c r="F190" s="21">
        <v>4200.0</v>
      </c>
      <c r="G190" s="30">
        <f t="shared" si="1"/>
        <v>3600</v>
      </c>
      <c r="H190" s="30">
        <f t="shared" si="4"/>
        <v>3900</v>
      </c>
      <c r="I190" s="31">
        <f t="shared" si="3"/>
        <v>0.3333333333</v>
      </c>
    </row>
    <row r="191" ht="22.5" customHeight="1">
      <c r="A191" s="35">
        <v>45821.0</v>
      </c>
      <c r="B191" s="21" t="s">
        <v>133</v>
      </c>
      <c r="C191" s="21"/>
      <c r="D191" s="21" t="s">
        <v>218</v>
      </c>
      <c r="E191" s="21">
        <v>1800.0</v>
      </c>
      <c r="F191" s="21">
        <v>2850.0</v>
      </c>
      <c r="G191" s="30">
        <f t="shared" si="1"/>
        <v>2325</v>
      </c>
      <c r="H191" s="30">
        <f t="shared" si="4"/>
        <v>2587.5</v>
      </c>
      <c r="I191" s="31">
        <f t="shared" si="3"/>
        <v>0.4516129032</v>
      </c>
    </row>
    <row r="192" ht="22.5" customHeight="1">
      <c r="A192" s="35">
        <v>45821.0</v>
      </c>
      <c r="B192" s="21" t="s">
        <v>133</v>
      </c>
      <c r="C192" s="21"/>
      <c r="D192" s="21" t="s">
        <v>219</v>
      </c>
      <c r="E192" s="21">
        <v>2400.0</v>
      </c>
      <c r="F192" s="21">
        <v>3200.0</v>
      </c>
      <c r="G192" s="30">
        <f t="shared" si="1"/>
        <v>2800</v>
      </c>
      <c r="H192" s="30">
        <f t="shared" si="4"/>
        <v>3000</v>
      </c>
      <c r="I192" s="31">
        <f t="shared" si="3"/>
        <v>0.2857142857</v>
      </c>
    </row>
    <row r="193" ht="22.5" customHeight="1">
      <c r="A193" s="35">
        <v>45821.0</v>
      </c>
      <c r="B193" s="21" t="s">
        <v>133</v>
      </c>
      <c r="C193" s="21"/>
      <c r="D193" s="21" t="s">
        <v>220</v>
      </c>
      <c r="E193" s="21">
        <v>1400.0</v>
      </c>
      <c r="F193" s="21">
        <v>2850.0</v>
      </c>
      <c r="G193" s="30">
        <f t="shared" si="1"/>
        <v>2125</v>
      </c>
      <c r="H193" s="30">
        <f t="shared" si="4"/>
        <v>2487.5</v>
      </c>
      <c r="I193" s="31">
        <f t="shared" si="3"/>
        <v>0.6823529412</v>
      </c>
    </row>
    <row r="194" ht="22.5" customHeight="1">
      <c r="A194" s="35">
        <v>45821.0</v>
      </c>
      <c r="B194" s="21" t="s">
        <v>120</v>
      </c>
      <c r="C194" s="21" t="s">
        <v>221</v>
      </c>
      <c r="D194" s="21" t="s">
        <v>222</v>
      </c>
      <c r="E194" s="21">
        <v>3.25</v>
      </c>
      <c r="F194" s="21">
        <v>5.9</v>
      </c>
      <c r="G194" s="30">
        <f t="shared" si="1"/>
        <v>4.575</v>
      </c>
      <c r="H194" s="30">
        <f t="shared" si="4"/>
        <v>5.2375</v>
      </c>
      <c r="I194" s="31">
        <f t="shared" si="3"/>
        <v>0.5792349727</v>
      </c>
    </row>
    <row r="195" ht="22.5" customHeight="1">
      <c r="A195" s="35">
        <v>45821.0</v>
      </c>
      <c r="B195" s="21" t="s">
        <v>120</v>
      </c>
      <c r="C195" s="21" t="s">
        <v>223</v>
      </c>
      <c r="D195" s="21" t="s">
        <v>222</v>
      </c>
      <c r="E195" s="21">
        <v>3.4</v>
      </c>
      <c r="F195" s="21">
        <v>5.45</v>
      </c>
      <c r="G195" s="30">
        <f t="shared" si="1"/>
        <v>4.425</v>
      </c>
      <c r="H195" s="30">
        <f t="shared" si="4"/>
        <v>4.9375</v>
      </c>
      <c r="I195" s="31">
        <f t="shared" si="3"/>
        <v>0.4632768362</v>
      </c>
    </row>
    <row r="196" ht="22.5" customHeight="1">
      <c r="A196" s="35">
        <v>45821.0</v>
      </c>
      <c r="B196" s="21" t="s">
        <v>120</v>
      </c>
      <c r="C196" s="21" t="s">
        <v>224</v>
      </c>
      <c r="D196" s="21" t="s">
        <v>222</v>
      </c>
      <c r="E196" s="21">
        <v>3.5</v>
      </c>
      <c r="F196" s="21">
        <v>5.15</v>
      </c>
      <c r="G196" s="30">
        <f t="shared" si="1"/>
        <v>4.325</v>
      </c>
      <c r="H196" s="30">
        <f t="shared" si="4"/>
        <v>4.7375</v>
      </c>
      <c r="I196" s="31">
        <f t="shared" si="3"/>
        <v>0.3815028902</v>
      </c>
    </row>
    <row r="197" ht="22.5" customHeight="1">
      <c r="A197" s="35">
        <v>45821.0</v>
      </c>
      <c r="B197" s="21" t="s">
        <v>120</v>
      </c>
      <c r="C197" s="21" t="s">
        <v>225</v>
      </c>
      <c r="D197" s="21" t="s">
        <v>222</v>
      </c>
      <c r="E197" s="21">
        <v>2.85</v>
      </c>
      <c r="F197" s="21">
        <v>4.45</v>
      </c>
      <c r="G197" s="30">
        <f t="shared" si="1"/>
        <v>3.65</v>
      </c>
      <c r="H197" s="30">
        <f t="shared" si="4"/>
        <v>4.05</v>
      </c>
      <c r="I197" s="31">
        <f t="shared" si="3"/>
        <v>0.4383561644</v>
      </c>
    </row>
    <row r="198" ht="22.5" customHeight="1">
      <c r="A198" s="35">
        <v>45821.0</v>
      </c>
      <c r="B198" s="21" t="s">
        <v>120</v>
      </c>
      <c r="C198" s="21" t="s">
        <v>226</v>
      </c>
      <c r="D198" s="21" t="s">
        <v>222</v>
      </c>
      <c r="E198" s="21">
        <v>2.65</v>
      </c>
      <c r="F198" s="21">
        <v>4.4</v>
      </c>
      <c r="G198" s="30">
        <f t="shared" si="1"/>
        <v>3.525</v>
      </c>
      <c r="H198" s="30">
        <f t="shared" si="4"/>
        <v>3.9625</v>
      </c>
      <c r="I198" s="31">
        <f t="shared" si="3"/>
        <v>0.4964539007</v>
      </c>
    </row>
    <row r="199" ht="22.5" customHeight="1">
      <c r="A199" s="35">
        <v>45821.0</v>
      </c>
      <c r="B199" s="21" t="s">
        <v>120</v>
      </c>
      <c r="C199" s="21" t="s">
        <v>227</v>
      </c>
      <c r="D199" s="21" t="s">
        <v>222</v>
      </c>
      <c r="E199" s="21">
        <v>2.5</v>
      </c>
      <c r="F199" s="21">
        <v>3.35</v>
      </c>
      <c r="G199" s="30">
        <f t="shared" si="1"/>
        <v>2.925</v>
      </c>
      <c r="H199" s="30">
        <f t="shared" si="4"/>
        <v>3.1375</v>
      </c>
      <c r="I199" s="31">
        <f t="shared" si="3"/>
        <v>0.2905982906</v>
      </c>
    </row>
    <row r="200" ht="22.5" customHeight="1">
      <c r="A200" s="35">
        <v>45821.0</v>
      </c>
      <c r="B200" s="21" t="s">
        <v>120</v>
      </c>
      <c r="C200" s="21" t="s">
        <v>228</v>
      </c>
      <c r="D200" s="21" t="s">
        <v>222</v>
      </c>
      <c r="E200" s="21">
        <v>2.3</v>
      </c>
      <c r="F200" s="21">
        <v>3.2</v>
      </c>
      <c r="G200" s="30">
        <f t="shared" si="1"/>
        <v>2.75</v>
      </c>
      <c r="H200" s="30">
        <f t="shared" si="4"/>
        <v>2.975</v>
      </c>
      <c r="I200" s="31">
        <f t="shared" si="3"/>
        <v>0.3272727273</v>
      </c>
    </row>
    <row r="201" ht="22.5" customHeight="1">
      <c r="A201" s="35">
        <v>45821.0</v>
      </c>
      <c r="B201" s="21" t="s">
        <v>120</v>
      </c>
      <c r="C201" s="21" t="s">
        <v>229</v>
      </c>
      <c r="D201" s="21" t="s">
        <v>222</v>
      </c>
      <c r="E201" s="21">
        <v>1.75</v>
      </c>
      <c r="F201" s="21">
        <v>2.65</v>
      </c>
      <c r="G201" s="30">
        <f t="shared" si="1"/>
        <v>2.2</v>
      </c>
      <c r="H201" s="30">
        <f t="shared" si="4"/>
        <v>2.425</v>
      </c>
      <c r="I201" s="31">
        <f t="shared" si="3"/>
        <v>0.4090909091</v>
      </c>
    </row>
    <row r="202" ht="22.5" customHeight="1">
      <c r="A202" s="35">
        <v>45821.0</v>
      </c>
      <c r="B202" s="21" t="s">
        <v>129</v>
      </c>
      <c r="C202" s="21" t="s">
        <v>221</v>
      </c>
      <c r="D202" s="21" t="s">
        <v>222</v>
      </c>
      <c r="E202" s="21">
        <v>4.5</v>
      </c>
      <c r="F202" s="21">
        <v>5.95</v>
      </c>
      <c r="G202" s="30">
        <f t="shared" si="1"/>
        <v>5.225</v>
      </c>
      <c r="H202" s="30">
        <f t="shared" si="4"/>
        <v>5.5875</v>
      </c>
      <c r="I202" s="31">
        <f t="shared" si="3"/>
        <v>0.2775119617</v>
      </c>
    </row>
    <row r="203" ht="22.5" customHeight="1">
      <c r="A203" s="35">
        <v>45821.0</v>
      </c>
      <c r="B203" s="21" t="s">
        <v>129</v>
      </c>
      <c r="C203" s="21" t="s">
        <v>223</v>
      </c>
      <c r="D203" s="21" t="s">
        <v>222</v>
      </c>
      <c r="E203" s="21">
        <v>3.52</v>
      </c>
      <c r="F203" s="21">
        <v>5.55</v>
      </c>
      <c r="G203" s="30">
        <f t="shared" si="1"/>
        <v>4.535</v>
      </c>
      <c r="H203" s="30">
        <f t="shared" si="4"/>
        <v>5.0425</v>
      </c>
      <c r="I203" s="31">
        <f t="shared" si="3"/>
        <v>0.447629548</v>
      </c>
    </row>
    <row r="204" ht="22.5" customHeight="1">
      <c r="A204" s="35">
        <v>45821.0</v>
      </c>
      <c r="B204" s="21" t="s">
        <v>129</v>
      </c>
      <c r="C204" s="21" t="s">
        <v>224</v>
      </c>
      <c r="D204" s="21" t="s">
        <v>222</v>
      </c>
      <c r="E204" s="21">
        <v>3.0</v>
      </c>
      <c r="F204" s="21">
        <v>4.4</v>
      </c>
      <c r="G204" s="30">
        <f t="shared" si="1"/>
        <v>3.7</v>
      </c>
      <c r="H204" s="30">
        <f t="shared" si="4"/>
        <v>4.05</v>
      </c>
      <c r="I204" s="31">
        <f t="shared" si="3"/>
        <v>0.3783783784</v>
      </c>
    </row>
    <row r="205" ht="22.5" customHeight="1">
      <c r="A205" s="35">
        <v>45821.0</v>
      </c>
      <c r="B205" s="21" t="s">
        <v>129</v>
      </c>
      <c r="C205" s="21" t="s">
        <v>225</v>
      </c>
      <c r="D205" s="21" t="s">
        <v>222</v>
      </c>
      <c r="E205" s="21">
        <v>3.1</v>
      </c>
      <c r="F205" s="21">
        <v>3.95</v>
      </c>
      <c r="G205" s="30">
        <f t="shared" si="1"/>
        <v>3.525</v>
      </c>
      <c r="H205" s="30">
        <f t="shared" si="4"/>
        <v>3.7375</v>
      </c>
      <c r="I205" s="31">
        <f t="shared" si="3"/>
        <v>0.2411347518</v>
      </c>
    </row>
    <row r="206" ht="22.5" customHeight="1">
      <c r="A206" s="35">
        <v>45821.0</v>
      </c>
      <c r="B206" s="21" t="s">
        <v>129</v>
      </c>
      <c r="C206" s="21" t="s">
        <v>226</v>
      </c>
      <c r="D206" s="21" t="s">
        <v>222</v>
      </c>
      <c r="E206" s="21">
        <v>2.5</v>
      </c>
      <c r="F206" s="21">
        <v>4.1</v>
      </c>
      <c r="G206" s="30">
        <f t="shared" si="1"/>
        <v>3.3</v>
      </c>
      <c r="H206" s="30">
        <f t="shared" si="4"/>
        <v>3.7</v>
      </c>
      <c r="I206" s="31">
        <f t="shared" si="3"/>
        <v>0.4848484848</v>
      </c>
    </row>
    <row r="207" ht="22.5" customHeight="1">
      <c r="A207" s="35">
        <v>45821.0</v>
      </c>
      <c r="B207" s="21" t="s">
        <v>129</v>
      </c>
      <c r="C207" s="21" t="s">
        <v>227</v>
      </c>
      <c r="D207" s="21" t="s">
        <v>222</v>
      </c>
      <c r="E207" s="21">
        <v>2.2</v>
      </c>
      <c r="F207" s="21">
        <v>3.18</v>
      </c>
      <c r="G207" s="30">
        <f t="shared" si="1"/>
        <v>2.69</v>
      </c>
      <c r="H207" s="30">
        <f t="shared" si="4"/>
        <v>2.935</v>
      </c>
      <c r="I207" s="31">
        <f t="shared" si="3"/>
        <v>0.3643122677</v>
      </c>
    </row>
    <row r="208" ht="22.5" customHeight="1">
      <c r="A208" s="35">
        <v>45821.0</v>
      </c>
      <c r="B208" s="21" t="s">
        <v>129</v>
      </c>
      <c r="C208" s="21" t="s">
        <v>228</v>
      </c>
      <c r="D208" s="21" t="s">
        <v>222</v>
      </c>
      <c r="E208" s="21">
        <v>2.15</v>
      </c>
      <c r="F208" s="21">
        <v>3.1</v>
      </c>
      <c r="G208" s="30">
        <f t="shared" si="1"/>
        <v>2.625</v>
      </c>
      <c r="H208" s="30">
        <f t="shared" si="4"/>
        <v>2.8625</v>
      </c>
      <c r="I208" s="31">
        <f t="shared" si="3"/>
        <v>0.3619047619</v>
      </c>
    </row>
    <row r="209" ht="22.5" customHeight="1">
      <c r="A209" s="35">
        <v>45821.0</v>
      </c>
      <c r="B209" s="21" t="s">
        <v>129</v>
      </c>
      <c r="C209" s="21" t="s">
        <v>229</v>
      </c>
      <c r="D209" s="21" t="s">
        <v>222</v>
      </c>
      <c r="E209" s="21">
        <v>1.7</v>
      </c>
      <c r="F209" s="21">
        <v>2.41</v>
      </c>
      <c r="G209" s="30">
        <f t="shared" si="1"/>
        <v>2.055</v>
      </c>
      <c r="H209" s="30">
        <f t="shared" si="4"/>
        <v>2.2325</v>
      </c>
      <c r="I209" s="31">
        <f t="shared" si="3"/>
        <v>0.3454987835</v>
      </c>
    </row>
    <row r="210" ht="22.5" customHeight="1">
      <c r="A210" s="35">
        <v>45828.0</v>
      </c>
      <c r="B210" s="21" t="s">
        <v>136</v>
      </c>
      <c r="C210" s="21"/>
      <c r="D210" s="21" t="s">
        <v>210</v>
      </c>
      <c r="E210" s="21">
        <v>0.6</v>
      </c>
      <c r="F210" s="21">
        <v>1.35</v>
      </c>
      <c r="G210" s="30">
        <f t="shared" si="1"/>
        <v>0.975</v>
      </c>
      <c r="H210" s="30">
        <f t="shared" si="4"/>
        <v>1.1625</v>
      </c>
      <c r="I210" s="31">
        <f t="shared" si="3"/>
        <v>0.7692307692</v>
      </c>
    </row>
    <row r="211" ht="22.5" customHeight="1">
      <c r="A211" s="35">
        <v>45828.0</v>
      </c>
      <c r="B211" s="21" t="s">
        <v>136</v>
      </c>
      <c r="C211" s="21"/>
      <c r="D211" s="21" t="s">
        <v>211</v>
      </c>
      <c r="E211" s="21">
        <v>1.25</v>
      </c>
      <c r="F211" s="21">
        <v>1.5</v>
      </c>
      <c r="G211" s="30">
        <f t="shared" si="1"/>
        <v>1.375</v>
      </c>
      <c r="H211" s="30">
        <f t="shared" si="4"/>
        <v>1.4375</v>
      </c>
      <c r="I211" s="31">
        <f t="shared" si="3"/>
        <v>0.1818181818</v>
      </c>
    </row>
    <row r="212" ht="22.5" customHeight="1">
      <c r="A212" s="35">
        <v>45828.0</v>
      </c>
      <c r="B212" s="21" t="s">
        <v>136</v>
      </c>
      <c r="C212" s="21"/>
      <c r="D212" s="21" t="s">
        <v>212</v>
      </c>
      <c r="E212" s="21">
        <v>1.51</v>
      </c>
      <c r="F212" s="21">
        <v>1.68</v>
      </c>
      <c r="G212" s="30">
        <f t="shared" si="1"/>
        <v>1.595</v>
      </c>
      <c r="H212" s="30">
        <f t="shared" si="4"/>
        <v>1.6375</v>
      </c>
      <c r="I212" s="31">
        <f t="shared" si="3"/>
        <v>0.1065830721</v>
      </c>
    </row>
    <row r="213" ht="22.5" customHeight="1">
      <c r="A213" s="35">
        <v>45828.0</v>
      </c>
      <c r="B213" s="21" t="s">
        <v>139</v>
      </c>
      <c r="C213" s="21"/>
      <c r="D213" s="21" t="s">
        <v>214</v>
      </c>
      <c r="E213" s="21">
        <v>1.6</v>
      </c>
      <c r="F213" s="21">
        <v>1.91</v>
      </c>
      <c r="G213" s="30">
        <f t="shared" si="1"/>
        <v>1.755</v>
      </c>
      <c r="H213" s="30">
        <f t="shared" si="4"/>
        <v>1.8325</v>
      </c>
      <c r="I213" s="31">
        <f t="shared" si="3"/>
        <v>0.1766381766</v>
      </c>
    </row>
    <row r="214" ht="22.5" customHeight="1">
      <c r="A214" s="35">
        <v>45828.0</v>
      </c>
      <c r="B214" s="21" t="s">
        <v>139</v>
      </c>
      <c r="C214" s="21"/>
      <c r="D214" s="21" t="s">
        <v>215</v>
      </c>
      <c r="E214" s="21">
        <v>2.0</v>
      </c>
      <c r="F214" s="21">
        <v>2.0</v>
      </c>
      <c r="G214" s="30">
        <f t="shared" si="1"/>
        <v>2</v>
      </c>
      <c r="H214" s="30">
        <f t="shared" si="4"/>
        <v>2</v>
      </c>
      <c r="I214" s="31">
        <f t="shared" si="3"/>
        <v>0</v>
      </c>
    </row>
    <row r="215" ht="22.5" customHeight="1">
      <c r="A215" s="35">
        <v>45828.0</v>
      </c>
      <c r="B215" s="21" t="s">
        <v>139</v>
      </c>
      <c r="C215" s="21"/>
      <c r="D215" s="21" t="s">
        <v>216</v>
      </c>
      <c r="E215" s="21">
        <v>1.35</v>
      </c>
      <c r="F215" s="21">
        <v>1.6</v>
      </c>
      <c r="G215" s="30">
        <f t="shared" si="1"/>
        <v>1.475</v>
      </c>
      <c r="H215" s="30">
        <f t="shared" si="4"/>
        <v>1.5375</v>
      </c>
      <c r="I215" s="31">
        <f t="shared" si="3"/>
        <v>0.1694915254</v>
      </c>
    </row>
    <row r="216" ht="22.5" customHeight="1">
      <c r="A216" s="35">
        <v>45828.0</v>
      </c>
      <c r="B216" s="21" t="s">
        <v>133</v>
      </c>
      <c r="C216" s="21"/>
      <c r="D216" s="21" t="s">
        <v>217</v>
      </c>
      <c r="E216" s="21">
        <v>3000.0</v>
      </c>
      <c r="F216" s="21">
        <v>3800.0</v>
      </c>
      <c r="G216" s="30">
        <f t="shared" si="1"/>
        <v>3400</v>
      </c>
      <c r="H216" s="30">
        <f t="shared" si="4"/>
        <v>3600</v>
      </c>
      <c r="I216" s="31">
        <f t="shared" si="3"/>
        <v>0.2352941176</v>
      </c>
    </row>
    <row r="217" ht="22.5" customHeight="1">
      <c r="A217" s="35">
        <v>45828.0</v>
      </c>
      <c r="B217" s="21" t="s">
        <v>133</v>
      </c>
      <c r="C217" s="21"/>
      <c r="D217" s="21" t="s">
        <v>218</v>
      </c>
      <c r="E217" s="21">
        <v>2300.0</v>
      </c>
      <c r="F217" s="21">
        <v>2850.0</v>
      </c>
      <c r="G217" s="30">
        <f t="shared" si="1"/>
        <v>2575</v>
      </c>
      <c r="H217" s="30">
        <f t="shared" si="4"/>
        <v>2712.5</v>
      </c>
      <c r="I217" s="31">
        <f t="shared" si="3"/>
        <v>0.213592233</v>
      </c>
    </row>
    <row r="218" ht="22.5" customHeight="1">
      <c r="A218" s="35">
        <v>45828.0</v>
      </c>
      <c r="B218" s="21" t="s">
        <v>133</v>
      </c>
      <c r="C218" s="21"/>
      <c r="D218" s="21" t="s">
        <v>219</v>
      </c>
      <c r="E218" s="21">
        <v>2250.0</v>
      </c>
      <c r="F218" s="21">
        <v>2850.0</v>
      </c>
      <c r="G218" s="30">
        <f t="shared" si="1"/>
        <v>2550</v>
      </c>
      <c r="H218" s="30">
        <f t="shared" si="4"/>
        <v>2700</v>
      </c>
      <c r="I218" s="31">
        <f t="shared" si="3"/>
        <v>0.2352941176</v>
      </c>
    </row>
    <row r="219" ht="22.5" customHeight="1">
      <c r="A219" s="35">
        <v>45828.0</v>
      </c>
      <c r="B219" s="21" t="s">
        <v>133</v>
      </c>
      <c r="C219" s="21"/>
      <c r="D219" s="21" t="s">
        <v>220</v>
      </c>
      <c r="E219" s="21">
        <v>1400.0</v>
      </c>
      <c r="F219" s="21">
        <v>2500.0</v>
      </c>
      <c r="G219" s="30">
        <f t="shared" si="1"/>
        <v>1950</v>
      </c>
      <c r="H219" s="30">
        <f t="shared" si="4"/>
        <v>2225</v>
      </c>
      <c r="I219" s="31">
        <f t="shared" si="3"/>
        <v>0.5641025641</v>
      </c>
    </row>
    <row r="220" ht="22.5" customHeight="1">
      <c r="A220" s="35">
        <v>45828.0</v>
      </c>
      <c r="B220" s="21" t="s">
        <v>120</v>
      </c>
      <c r="C220" s="21" t="s">
        <v>221</v>
      </c>
      <c r="D220" s="21" t="s">
        <v>222</v>
      </c>
      <c r="E220" s="21">
        <v>4.7</v>
      </c>
      <c r="F220" s="21">
        <v>5.75</v>
      </c>
      <c r="G220" s="30">
        <f t="shared" si="1"/>
        <v>5.225</v>
      </c>
      <c r="H220" s="30">
        <f t="shared" si="4"/>
        <v>5.4875</v>
      </c>
      <c r="I220" s="31">
        <f t="shared" si="3"/>
        <v>0.2009569378</v>
      </c>
    </row>
    <row r="221" ht="22.5" customHeight="1">
      <c r="A221" s="35">
        <v>45828.0</v>
      </c>
      <c r="B221" s="21" t="s">
        <v>120</v>
      </c>
      <c r="C221" s="21" t="s">
        <v>223</v>
      </c>
      <c r="D221" s="21" t="s">
        <v>222</v>
      </c>
      <c r="E221" s="21">
        <v>3.62</v>
      </c>
      <c r="F221" s="21">
        <v>5.1</v>
      </c>
      <c r="G221" s="30">
        <f t="shared" si="1"/>
        <v>4.36</v>
      </c>
      <c r="H221" s="30">
        <f t="shared" si="4"/>
        <v>4.73</v>
      </c>
      <c r="I221" s="31">
        <f t="shared" si="3"/>
        <v>0.3394495413</v>
      </c>
    </row>
    <row r="222" ht="22.5" customHeight="1">
      <c r="A222" s="35">
        <v>45828.0</v>
      </c>
      <c r="B222" s="21" t="s">
        <v>120</v>
      </c>
      <c r="C222" s="21" t="s">
        <v>224</v>
      </c>
      <c r="D222" s="21" t="s">
        <v>222</v>
      </c>
      <c r="E222" s="21">
        <v>3.6</v>
      </c>
      <c r="F222" s="21">
        <v>5.0</v>
      </c>
      <c r="G222" s="30">
        <f t="shared" si="1"/>
        <v>4.3</v>
      </c>
      <c r="H222" s="30">
        <f t="shared" si="4"/>
        <v>4.65</v>
      </c>
      <c r="I222" s="31">
        <f t="shared" si="3"/>
        <v>0.3255813953</v>
      </c>
    </row>
    <row r="223" ht="22.5" customHeight="1">
      <c r="A223" s="35">
        <v>45828.0</v>
      </c>
      <c r="B223" s="21" t="s">
        <v>120</v>
      </c>
      <c r="C223" s="21" t="s">
        <v>225</v>
      </c>
      <c r="D223" s="21" t="s">
        <v>222</v>
      </c>
      <c r="E223" s="21">
        <v>3.0</v>
      </c>
      <c r="F223" s="21">
        <v>4.25</v>
      </c>
      <c r="G223" s="30">
        <f t="shared" si="1"/>
        <v>3.625</v>
      </c>
      <c r="H223" s="30">
        <f t="shared" si="4"/>
        <v>3.9375</v>
      </c>
      <c r="I223" s="31">
        <f t="shared" si="3"/>
        <v>0.3448275862</v>
      </c>
    </row>
    <row r="224" ht="22.5" customHeight="1">
      <c r="A224" s="35">
        <v>45828.0</v>
      </c>
      <c r="B224" s="21" t="s">
        <v>120</v>
      </c>
      <c r="C224" s="21" t="s">
        <v>226</v>
      </c>
      <c r="D224" s="21" t="s">
        <v>222</v>
      </c>
      <c r="E224" s="21">
        <v>3.0</v>
      </c>
      <c r="F224" s="21">
        <v>3.9</v>
      </c>
      <c r="G224" s="30">
        <f t="shared" si="1"/>
        <v>3.45</v>
      </c>
      <c r="H224" s="30">
        <f t="shared" si="4"/>
        <v>3.675</v>
      </c>
      <c r="I224" s="31">
        <f t="shared" si="3"/>
        <v>0.2608695652</v>
      </c>
    </row>
    <row r="225" ht="22.5" customHeight="1">
      <c r="A225" s="35">
        <v>45828.0</v>
      </c>
      <c r="B225" s="21" t="s">
        <v>120</v>
      </c>
      <c r="C225" s="21" t="s">
        <v>227</v>
      </c>
      <c r="D225" s="21" t="s">
        <v>222</v>
      </c>
      <c r="E225" s="21">
        <v>2.5</v>
      </c>
      <c r="F225" s="21">
        <v>3.4</v>
      </c>
      <c r="G225" s="30">
        <f t="shared" si="1"/>
        <v>2.95</v>
      </c>
      <c r="H225" s="30">
        <f t="shared" si="4"/>
        <v>3.175</v>
      </c>
      <c r="I225" s="31">
        <f t="shared" si="3"/>
        <v>0.3050847458</v>
      </c>
    </row>
    <row r="226" ht="22.5" customHeight="1">
      <c r="A226" s="35">
        <v>45828.0</v>
      </c>
      <c r="B226" s="21" t="s">
        <v>120</v>
      </c>
      <c r="C226" s="21" t="s">
        <v>228</v>
      </c>
      <c r="D226" s="21" t="s">
        <v>222</v>
      </c>
      <c r="E226" s="21">
        <v>2.1</v>
      </c>
      <c r="F226" s="21">
        <v>3.15</v>
      </c>
      <c r="G226" s="30">
        <f t="shared" si="1"/>
        <v>2.625</v>
      </c>
      <c r="H226" s="30">
        <f t="shared" si="4"/>
        <v>2.8875</v>
      </c>
      <c r="I226" s="31">
        <f t="shared" si="3"/>
        <v>0.4</v>
      </c>
    </row>
    <row r="227" ht="22.5" customHeight="1">
      <c r="A227" s="35">
        <v>45828.0</v>
      </c>
      <c r="B227" s="21" t="s">
        <v>120</v>
      </c>
      <c r="C227" s="21" t="s">
        <v>229</v>
      </c>
      <c r="D227" s="21" t="s">
        <v>222</v>
      </c>
      <c r="E227" s="21">
        <v>2.15</v>
      </c>
      <c r="F227" s="21">
        <v>2.75</v>
      </c>
      <c r="G227" s="30">
        <f t="shared" si="1"/>
        <v>2.45</v>
      </c>
      <c r="H227" s="30">
        <f t="shared" si="4"/>
        <v>2.6</v>
      </c>
      <c r="I227" s="31">
        <f t="shared" si="3"/>
        <v>0.2448979592</v>
      </c>
    </row>
    <row r="228" ht="22.5" customHeight="1">
      <c r="A228" s="35">
        <v>45828.0</v>
      </c>
      <c r="B228" s="21" t="s">
        <v>129</v>
      </c>
      <c r="C228" s="21" t="s">
        <v>221</v>
      </c>
      <c r="D228" s="21" t="s">
        <v>222</v>
      </c>
      <c r="E228" s="21">
        <v>4.5</v>
      </c>
      <c r="F228" s="21">
        <v>5.65</v>
      </c>
      <c r="G228" s="30">
        <f t="shared" si="1"/>
        <v>5.075</v>
      </c>
      <c r="H228" s="30">
        <f t="shared" si="4"/>
        <v>5.3625</v>
      </c>
      <c r="I228" s="31">
        <f t="shared" si="3"/>
        <v>0.2266009852</v>
      </c>
    </row>
    <row r="229" ht="22.5" customHeight="1">
      <c r="A229" s="35">
        <v>45828.0</v>
      </c>
      <c r="B229" s="21" t="s">
        <v>129</v>
      </c>
      <c r="C229" s="21" t="s">
        <v>223</v>
      </c>
      <c r="D229" s="21" t="s">
        <v>222</v>
      </c>
      <c r="E229" s="21">
        <v>3.52</v>
      </c>
      <c r="F229" s="21">
        <v>5.35</v>
      </c>
      <c r="G229" s="30">
        <f t="shared" si="1"/>
        <v>4.435</v>
      </c>
      <c r="H229" s="30">
        <f t="shared" si="4"/>
        <v>4.8925</v>
      </c>
      <c r="I229" s="31">
        <f t="shared" si="3"/>
        <v>0.412626832</v>
      </c>
    </row>
    <row r="230" ht="22.5" customHeight="1">
      <c r="A230" s="35">
        <v>45828.0</v>
      </c>
      <c r="B230" s="21" t="s">
        <v>129</v>
      </c>
      <c r="C230" s="21" t="s">
        <v>224</v>
      </c>
      <c r="D230" s="21" t="s">
        <v>222</v>
      </c>
      <c r="E230" s="21">
        <v>3.0</v>
      </c>
      <c r="F230" s="21">
        <v>4.35</v>
      </c>
      <c r="G230" s="30">
        <f t="shared" si="1"/>
        <v>3.675</v>
      </c>
      <c r="H230" s="30">
        <f t="shared" si="4"/>
        <v>4.0125</v>
      </c>
      <c r="I230" s="31">
        <f t="shared" si="3"/>
        <v>0.3673469388</v>
      </c>
    </row>
    <row r="231" ht="22.5" customHeight="1">
      <c r="A231" s="35">
        <v>45828.0</v>
      </c>
      <c r="B231" s="21" t="s">
        <v>129</v>
      </c>
      <c r="C231" s="21" t="s">
        <v>225</v>
      </c>
      <c r="D231" s="21" t="s">
        <v>222</v>
      </c>
      <c r="E231" s="21">
        <v>3.1</v>
      </c>
      <c r="F231" s="21">
        <v>4.15</v>
      </c>
      <c r="G231" s="30">
        <f t="shared" si="1"/>
        <v>3.625</v>
      </c>
      <c r="H231" s="30">
        <f t="shared" si="4"/>
        <v>3.8875</v>
      </c>
      <c r="I231" s="31">
        <f t="shared" si="3"/>
        <v>0.2896551724</v>
      </c>
    </row>
    <row r="232" ht="22.5" customHeight="1">
      <c r="A232" s="35">
        <v>45828.0</v>
      </c>
      <c r="B232" s="21" t="s">
        <v>129</v>
      </c>
      <c r="C232" s="21" t="s">
        <v>226</v>
      </c>
      <c r="D232" s="21" t="s">
        <v>222</v>
      </c>
      <c r="E232" s="21">
        <v>2.65</v>
      </c>
      <c r="F232" s="21">
        <v>3.65</v>
      </c>
      <c r="G232" s="30">
        <f t="shared" si="1"/>
        <v>3.15</v>
      </c>
      <c r="H232" s="30">
        <f t="shared" si="4"/>
        <v>3.4</v>
      </c>
      <c r="I232" s="31">
        <f t="shared" si="3"/>
        <v>0.3174603175</v>
      </c>
    </row>
    <row r="233" ht="22.5" customHeight="1">
      <c r="A233" s="35">
        <v>45828.0</v>
      </c>
      <c r="B233" s="21" t="s">
        <v>129</v>
      </c>
      <c r="C233" s="21" t="s">
        <v>227</v>
      </c>
      <c r="D233" s="21" t="s">
        <v>222</v>
      </c>
      <c r="E233" s="21">
        <v>2.2</v>
      </c>
      <c r="F233" s="21">
        <v>3.3</v>
      </c>
      <c r="G233" s="30">
        <f t="shared" si="1"/>
        <v>2.75</v>
      </c>
      <c r="H233" s="30">
        <f t="shared" si="4"/>
        <v>3.025</v>
      </c>
      <c r="I233" s="31">
        <f t="shared" si="3"/>
        <v>0.4</v>
      </c>
    </row>
    <row r="234" ht="22.5" customHeight="1">
      <c r="A234" s="35">
        <v>45828.0</v>
      </c>
      <c r="B234" s="21" t="s">
        <v>129</v>
      </c>
      <c r="C234" s="21" t="s">
        <v>228</v>
      </c>
      <c r="D234" s="21" t="s">
        <v>222</v>
      </c>
      <c r="E234" s="21">
        <v>2.2</v>
      </c>
      <c r="F234" s="21">
        <v>2.94</v>
      </c>
      <c r="G234" s="30">
        <f t="shared" si="1"/>
        <v>2.57</v>
      </c>
      <c r="H234" s="30">
        <f t="shared" si="4"/>
        <v>2.755</v>
      </c>
      <c r="I234" s="31">
        <f t="shared" si="3"/>
        <v>0.2879377432</v>
      </c>
    </row>
    <row r="235" ht="22.5" customHeight="1">
      <c r="A235" s="35">
        <v>45828.0</v>
      </c>
      <c r="B235" s="21" t="s">
        <v>129</v>
      </c>
      <c r="C235" s="21" t="s">
        <v>229</v>
      </c>
      <c r="D235" s="21" t="s">
        <v>222</v>
      </c>
      <c r="E235" s="21">
        <v>1.76</v>
      </c>
      <c r="F235" s="21">
        <v>2.7</v>
      </c>
      <c r="G235" s="30">
        <f t="shared" si="1"/>
        <v>2.23</v>
      </c>
      <c r="H235" s="30">
        <f t="shared" si="4"/>
        <v>2.465</v>
      </c>
      <c r="I235" s="31">
        <f t="shared" si="3"/>
        <v>0.4215246637</v>
      </c>
    </row>
    <row r="236" ht="22.5" customHeight="1">
      <c r="A236" s="35">
        <v>45835.0</v>
      </c>
      <c r="B236" s="21" t="s">
        <v>136</v>
      </c>
      <c r="C236" s="21"/>
      <c r="D236" s="21" t="s">
        <v>210</v>
      </c>
      <c r="E236" s="21">
        <v>0.6</v>
      </c>
      <c r="F236" s="21">
        <v>1.35</v>
      </c>
      <c r="G236" s="30">
        <f t="shared" si="1"/>
        <v>0.975</v>
      </c>
      <c r="H236" s="30">
        <f t="shared" si="4"/>
        <v>1.1625</v>
      </c>
      <c r="I236" s="31">
        <f t="shared" si="3"/>
        <v>0.7692307692</v>
      </c>
    </row>
    <row r="237" ht="22.5" customHeight="1">
      <c r="A237" s="35">
        <v>45835.0</v>
      </c>
      <c r="B237" s="21" t="s">
        <v>136</v>
      </c>
      <c r="C237" s="21"/>
      <c r="D237" s="21" t="s">
        <v>211</v>
      </c>
      <c r="E237" s="21">
        <v>1.36</v>
      </c>
      <c r="F237" s="21">
        <v>1.5</v>
      </c>
      <c r="G237" s="30">
        <f t="shared" si="1"/>
        <v>1.43</v>
      </c>
      <c r="H237" s="30">
        <f t="shared" si="4"/>
        <v>1.465</v>
      </c>
      <c r="I237" s="31">
        <f t="shared" si="3"/>
        <v>0.0979020979</v>
      </c>
    </row>
    <row r="238" ht="22.5" customHeight="1">
      <c r="A238" s="35">
        <v>45835.0</v>
      </c>
      <c r="B238" s="21" t="s">
        <v>136</v>
      </c>
      <c r="C238" s="21"/>
      <c r="D238" s="21" t="s">
        <v>212</v>
      </c>
      <c r="E238" s="21">
        <v>1.51</v>
      </c>
      <c r="F238" s="21">
        <v>1.65</v>
      </c>
      <c r="G238" s="30">
        <f t="shared" si="1"/>
        <v>1.58</v>
      </c>
      <c r="H238" s="30">
        <f t="shared" si="4"/>
        <v>1.615</v>
      </c>
      <c r="I238" s="31">
        <f t="shared" si="3"/>
        <v>0.08860759494</v>
      </c>
    </row>
    <row r="239" ht="22.5" customHeight="1">
      <c r="A239" s="35">
        <v>45835.0</v>
      </c>
      <c r="B239" s="21" t="s">
        <v>139</v>
      </c>
      <c r="C239" s="21"/>
      <c r="D239" s="21" t="s">
        <v>214</v>
      </c>
      <c r="E239" s="21">
        <v>1.6</v>
      </c>
      <c r="F239" s="21">
        <v>1.88</v>
      </c>
      <c r="G239" s="30">
        <f t="shared" si="1"/>
        <v>1.74</v>
      </c>
      <c r="H239" s="30">
        <f t="shared" si="4"/>
        <v>1.81</v>
      </c>
      <c r="I239" s="31">
        <f t="shared" si="3"/>
        <v>0.1609195402</v>
      </c>
    </row>
    <row r="240" ht="22.5" customHeight="1">
      <c r="A240" s="35">
        <v>45835.0</v>
      </c>
      <c r="B240" s="21" t="s">
        <v>139</v>
      </c>
      <c r="C240" s="21"/>
      <c r="D240" s="21" t="s">
        <v>215</v>
      </c>
      <c r="E240" s="21">
        <v>1.93</v>
      </c>
      <c r="F240" s="21">
        <v>1.93</v>
      </c>
      <c r="G240" s="30">
        <f t="shared" si="1"/>
        <v>1.93</v>
      </c>
      <c r="H240" s="30">
        <f t="shared" si="4"/>
        <v>1.93</v>
      </c>
      <c r="I240" s="31">
        <f t="shared" si="3"/>
        <v>0</v>
      </c>
    </row>
    <row r="241" ht="22.5" customHeight="1">
      <c r="A241" s="35">
        <v>45835.0</v>
      </c>
      <c r="B241" s="21" t="s">
        <v>139</v>
      </c>
      <c r="C241" s="21"/>
      <c r="D241" s="21" t="s">
        <v>216</v>
      </c>
      <c r="E241" s="21">
        <v>1.35</v>
      </c>
      <c r="F241" s="21">
        <v>1.6</v>
      </c>
      <c r="G241" s="30">
        <f t="shared" si="1"/>
        <v>1.475</v>
      </c>
      <c r="H241" s="30">
        <f t="shared" si="4"/>
        <v>1.5375</v>
      </c>
      <c r="I241" s="31">
        <f t="shared" si="3"/>
        <v>0.1694915254</v>
      </c>
    </row>
    <row r="242" ht="22.5" customHeight="1">
      <c r="A242" s="35">
        <v>45835.0</v>
      </c>
      <c r="B242" s="21" t="s">
        <v>133</v>
      </c>
      <c r="C242" s="21"/>
      <c r="D242" s="21" t="s">
        <v>217</v>
      </c>
      <c r="E242" s="21">
        <v>3500.0</v>
      </c>
      <c r="F242" s="21">
        <v>4200.0</v>
      </c>
      <c r="G242" s="30">
        <f t="shared" si="1"/>
        <v>3850</v>
      </c>
      <c r="H242" s="30">
        <f t="shared" si="4"/>
        <v>4025</v>
      </c>
      <c r="I242" s="31">
        <f t="shared" si="3"/>
        <v>0.1818181818</v>
      </c>
    </row>
    <row r="243" ht="22.5" customHeight="1">
      <c r="A243" s="35">
        <v>45835.0</v>
      </c>
      <c r="B243" s="21" t="s">
        <v>133</v>
      </c>
      <c r="C243" s="21"/>
      <c r="D243" s="21" t="s">
        <v>218</v>
      </c>
      <c r="E243" s="21">
        <v>2500.0</v>
      </c>
      <c r="F243" s="21">
        <v>3200.0</v>
      </c>
      <c r="G243" s="30">
        <f t="shared" si="1"/>
        <v>2850</v>
      </c>
      <c r="H243" s="30">
        <f t="shared" si="4"/>
        <v>3025</v>
      </c>
      <c r="I243" s="31">
        <f t="shared" si="3"/>
        <v>0.2456140351</v>
      </c>
    </row>
    <row r="244" ht="22.5" customHeight="1">
      <c r="A244" s="35">
        <v>45835.0</v>
      </c>
      <c r="B244" s="21" t="s">
        <v>133</v>
      </c>
      <c r="C244" s="21"/>
      <c r="D244" s="21" t="s">
        <v>219</v>
      </c>
      <c r="E244" s="21">
        <v>2500.0</v>
      </c>
      <c r="F244" s="21">
        <v>3400.0</v>
      </c>
      <c r="G244" s="30">
        <f t="shared" si="1"/>
        <v>2950</v>
      </c>
      <c r="H244" s="30">
        <f t="shared" si="4"/>
        <v>3175</v>
      </c>
      <c r="I244" s="31">
        <f t="shared" si="3"/>
        <v>0.3050847458</v>
      </c>
    </row>
    <row r="245" ht="22.5" customHeight="1">
      <c r="A245" s="35">
        <v>45835.0</v>
      </c>
      <c r="B245" s="21" t="s">
        <v>133</v>
      </c>
      <c r="C245" s="21"/>
      <c r="D245" s="21" t="s">
        <v>220</v>
      </c>
      <c r="E245" s="21">
        <v>1750.0</v>
      </c>
      <c r="F245" s="21">
        <v>2500.0</v>
      </c>
      <c r="G245" s="30">
        <f t="shared" si="1"/>
        <v>2125</v>
      </c>
      <c r="H245" s="30">
        <f t="shared" si="4"/>
        <v>2312.5</v>
      </c>
      <c r="I245" s="31">
        <f t="shared" si="3"/>
        <v>0.3529411765</v>
      </c>
    </row>
    <row r="246" ht="22.5" customHeight="1">
      <c r="A246" s="35">
        <v>45835.0</v>
      </c>
      <c r="B246" s="21" t="s">
        <v>120</v>
      </c>
      <c r="C246" s="21" t="s">
        <v>221</v>
      </c>
      <c r="D246" s="21" t="s">
        <v>222</v>
      </c>
      <c r="E246" s="21">
        <v>4.7</v>
      </c>
      <c r="F246" s="21">
        <v>5.4</v>
      </c>
      <c r="G246" s="30">
        <f t="shared" si="1"/>
        <v>5.05</v>
      </c>
      <c r="H246" s="30">
        <f t="shared" si="4"/>
        <v>5.225</v>
      </c>
      <c r="I246" s="31">
        <f t="shared" si="3"/>
        <v>0.1386138614</v>
      </c>
    </row>
    <row r="247" ht="22.5" customHeight="1">
      <c r="A247" s="35">
        <v>45835.0</v>
      </c>
      <c r="B247" s="21" t="s">
        <v>120</v>
      </c>
      <c r="C247" s="21" t="s">
        <v>223</v>
      </c>
      <c r="D247" s="21" t="s">
        <v>222</v>
      </c>
      <c r="E247" s="21">
        <v>3.62</v>
      </c>
      <c r="F247" s="21">
        <v>5.0</v>
      </c>
      <c r="G247" s="30">
        <f t="shared" si="1"/>
        <v>4.31</v>
      </c>
      <c r="H247" s="30">
        <f t="shared" si="4"/>
        <v>4.655</v>
      </c>
      <c r="I247" s="31">
        <f t="shared" si="3"/>
        <v>0.3201856148</v>
      </c>
    </row>
    <row r="248" ht="22.5" customHeight="1">
      <c r="A248" s="35">
        <v>45835.0</v>
      </c>
      <c r="B248" s="21" t="s">
        <v>120</v>
      </c>
      <c r="C248" s="21" t="s">
        <v>224</v>
      </c>
      <c r="D248" s="21" t="s">
        <v>222</v>
      </c>
      <c r="E248" s="21">
        <v>3.6</v>
      </c>
      <c r="F248" s="21">
        <v>4.55</v>
      </c>
      <c r="G248" s="30">
        <f t="shared" si="1"/>
        <v>4.075</v>
      </c>
      <c r="H248" s="30">
        <f t="shared" si="4"/>
        <v>4.3125</v>
      </c>
      <c r="I248" s="31">
        <f t="shared" si="3"/>
        <v>0.2331288344</v>
      </c>
    </row>
    <row r="249" ht="22.5" customHeight="1">
      <c r="A249" s="35">
        <v>45835.0</v>
      </c>
      <c r="B249" s="21" t="s">
        <v>120</v>
      </c>
      <c r="C249" s="21" t="s">
        <v>225</v>
      </c>
      <c r="D249" s="21" t="s">
        <v>222</v>
      </c>
      <c r="E249" s="21">
        <v>3.0</v>
      </c>
      <c r="F249" s="21">
        <v>4.15</v>
      </c>
      <c r="G249" s="30">
        <f t="shared" si="1"/>
        <v>3.575</v>
      </c>
      <c r="H249" s="30">
        <f t="shared" si="4"/>
        <v>3.8625</v>
      </c>
      <c r="I249" s="31">
        <f t="shared" si="3"/>
        <v>0.3216783217</v>
      </c>
    </row>
    <row r="250" ht="22.5" customHeight="1">
      <c r="A250" s="35">
        <v>45835.0</v>
      </c>
      <c r="B250" s="21" t="s">
        <v>120</v>
      </c>
      <c r="C250" s="21" t="s">
        <v>226</v>
      </c>
      <c r="D250" s="21" t="s">
        <v>222</v>
      </c>
      <c r="E250" s="21">
        <v>3.0</v>
      </c>
      <c r="F250" s="21">
        <v>3.97</v>
      </c>
      <c r="G250" s="30">
        <f t="shared" si="1"/>
        <v>3.485</v>
      </c>
      <c r="H250" s="30">
        <f t="shared" si="4"/>
        <v>3.7275</v>
      </c>
      <c r="I250" s="31">
        <f t="shared" si="3"/>
        <v>0.2783357245</v>
      </c>
    </row>
    <row r="251" ht="22.5" customHeight="1">
      <c r="A251" s="35">
        <v>45835.0</v>
      </c>
      <c r="B251" s="21" t="s">
        <v>120</v>
      </c>
      <c r="C251" s="21" t="s">
        <v>227</v>
      </c>
      <c r="D251" s="21" t="s">
        <v>222</v>
      </c>
      <c r="E251" s="21">
        <v>2.5</v>
      </c>
      <c r="F251" s="21">
        <v>3.37</v>
      </c>
      <c r="G251" s="30">
        <f t="shared" si="1"/>
        <v>2.935</v>
      </c>
      <c r="H251" s="30">
        <f t="shared" si="4"/>
        <v>3.1525</v>
      </c>
      <c r="I251" s="31">
        <f t="shared" si="3"/>
        <v>0.2964224872</v>
      </c>
    </row>
    <row r="252" ht="22.5" customHeight="1">
      <c r="A252" s="35">
        <v>45835.0</v>
      </c>
      <c r="B252" s="21" t="s">
        <v>120</v>
      </c>
      <c r="C252" s="21" t="s">
        <v>228</v>
      </c>
      <c r="D252" s="21" t="s">
        <v>222</v>
      </c>
      <c r="E252" s="21">
        <v>2.1</v>
      </c>
      <c r="F252" s="21">
        <v>3.05</v>
      </c>
      <c r="G252" s="30">
        <f t="shared" si="1"/>
        <v>2.575</v>
      </c>
      <c r="H252" s="30">
        <f t="shared" si="4"/>
        <v>2.8125</v>
      </c>
      <c r="I252" s="31">
        <f t="shared" si="3"/>
        <v>0.3689320388</v>
      </c>
    </row>
    <row r="253" ht="22.5" customHeight="1">
      <c r="A253" s="35">
        <v>45835.0</v>
      </c>
      <c r="B253" s="21" t="s">
        <v>120</v>
      </c>
      <c r="C253" s="21" t="s">
        <v>229</v>
      </c>
      <c r="D253" s="21" t="s">
        <v>222</v>
      </c>
      <c r="E253" s="21">
        <v>2.15</v>
      </c>
      <c r="F253" s="21">
        <v>2.7</v>
      </c>
      <c r="G253" s="30">
        <f t="shared" si="1"/>
        <v>2.425</v>
      </c>
      <c r="H253" s="30">
        <f t="shared" si="4"/>
        <v>2.5625</v>
      </c>
      <c r="I253" s="31">
        <f t="shared" si="3"/>
        <v>0.2268041237</v>
      </c>
    </row>
    <row r="254" ht="22.5" customHeight="1">
      <c r="A254" s="35">
        <v>45835.0</v>
      </c>
      <c r="B254" s="21" t="s">
        <v>129</v>
      </c>
      <c r="C254" s="21" t="s">
        <v>221</v>
      </c>
      <c r="D254" s="21" t="s">
        <v>222</v>
      </c>
      <c r="E254" s="21">
        <v>4.0</v>
      </c>
      <c r="F254" s="21">
        <v>5.2</v>
      </c>
      <c r="G254" s="30">
        <f t="shared" si="1"/>
        <v>4.6</v>
      </c>
      <c r="H254" s="30">
        <f t="shared" si="4"/>
        <v>4.9</v>
      </c>
      <c r="I254" s="31">
        <f t="shared" si="3"/>
        <v>0.2608695652</v>
      </c>
    </row>
    <row r="255" ht="22.5" customHeight="1">
      <c r="A255" s="35">
        <v>45835.0</v>
      </c>
      <c r="B255" s="21" t="s">
        <v>129</v>
      </c>
      <c r="C255" s="21" t="s">
        <v>223</v>
      </c>
      <c r="D255" s="21" t="s">
        <v>222</v>
      </c>
      <c r="E255" s="21">
        <v>3.52</v>
      </c>
      <c r="F255" s="21">
        <v>4.75</v>
      </c>
      <c r="G255" s="30">
        <f t="shared" si="1"/>
        <v>4.135</v>
      </c>
      <c r="H255" s="30">
        <f t="shared" si="4"/>
        <v>4.4425</v>
      </c>
      <c r="I255" s="31">
        <f t="shared" si="3"/>
        <v>0.2974607013</v>
      </c>
    </row>
    <row r="256" ht="22.5" customHeight="1">
      <c r="A256" s="35">
        <v>45835.0</v>
      </c>
      <c r="B256" s="21" t="s">
        <v>129</v>
      </c>
      <c r="C256" s="21" t="s">
        <v>224</v>
      </c>
      <c r="D256" s="21" t="s">
        <v>222</v>
      </c>
      <c r="E256" s="21">
        <v>3.0</v>
      </c>
      <c r="F256" s="21">
        <v>4.25</v>
      </c>
      <c r="G256" s="30">
        <f t="shared" si="1"/>
        <v>3.625</v>
      </c>
      <c r="H256" s="30">
        <f t="shared" si="4"/>
        <v>3.9375</v>
      </c>
      <c r="I256" s="31">
        <f t="shared" si="3"/>
        <v>0.3448275862</v>
      </c>
    </row>
    <row r="257" ht="22.5" customHeight="1">
      <c r="A257" s="35">
        <v>45835.0</v>
      </c>
      <c r="B257" s="21" t="s">
        <v>129</v>
      </c>
      <c r="C257" s="21" t="s">
        <v>225</v>
      </c>
      <c r="D257" s="21" t="s">
        <v>222</v>
      </c>
      <c r="E257" s="21">
        <v>3.1</v>
      </c>
      <c r="F257" s="21">
        <v>3.75</v>
      </c>
      <c r="G257" s="30">
        <f t="shared" si="1"/>
        <v>3.425</v>
      </c>
      <c r="H257" s="30">
        <f t="shared" si="4"/>
        <v>3.5875</v>
      </c>
      <c r="I257" s="31">
        <f t="shared" si="3"/>
        <v>0.1897810219</v>
      </c>
    </row>
    <row r="258" ht="22.5" customHeight="1">
      <c r="A258" s="35">
        <v>45835.0</v>
      </c>
      <c r="B258" s="21" t="s">
        <v>129</v>
      </c>
      <c r="C258" s="21" t="s">
        <v>226</v>
      </c>
      <c r="D258" s="21" t="s">
        <v>222</v>
      </c>
      <c r="E258" s="21">
        <v>2.65</v>
      </c>
      <c r="F258" s="21">
        <v>3.45</v>
      </c>
      <c r="G258" s="30">
        <f t="shared" si="1"/>
        <v>3.05</v>
      </c>
      <c r="H258" s="30">
        <f t="shared" si="4"/>
        <v>3.25</v>
      </c>
      <c r="I258" s="31">
        <f t="shared" si="3"/>
        <v>0.262295082</v>
      </c>
    </row>
    <row r="259" ht="22.5" customHeight="1">
      <c r="A259" s="35">
        <v>45835.0</v>
      </c>
      <c r="B259" s="21" t="s">
        <v>129</v>
      </c>
      <c r="C259" s="21" t="s">
        <v>227</v>
      </c>
      <c r="D259" s="21" t="s">
        <v>222</v>
      </c>
      <c r="E259" s="21">
        <v>2.2</v>
      </c>
      <c r="F259" s="21">
        <v>3.37</v>
      </c>
      <c r="G259" s="30">
        <f t="shared" si="1"/>
        <v>2.785</v>
      </c>
      <c r="H259" s="30">
        <f t="shared" si="4"/>
        <v>3.0775</v>
      </c>
      <c r="I259" s="31">
        <f t="shared" si="3"/>
        <v>0.4201077199</v>
      </c>
    </row>
    <row r="260" ht="22.5" customHeight="1">
      <c r="A260" s="35">
        <v>45835.0</v>
      </c>
      <c r="B260" s="21" t="s">
        <v>129</v>
      </c>
      <c r="C260" s="21" t="s">
        <v>228</v>
      </c>
      <c r="D260" s="21" t="s">
        <v>222</v>
      </c>
      <c r="E260" s="21">
        <v>2.2</v>
      </c>
      <c r="F260" s="21">
        <v>3.0</v>
      </c>
      <c r="G260" s="30">
        <f t="shared" si="1"/>
        <v>2.6</v>
      </c>
      <c r="H260" s="30">
        <f t="shared" si="4"/>
        <v>2.8</v>
      </c>
      <c r="I260" s="31">
        <f t="shared" si="3"/>
        <v>0.3076923077</v>
      </c>
    </row>
    <row r="261" ht="22.5" customHeight="1">
      <c r="A261" s="35">
        <v>45835.0</v>
      </c>
      <c r="B261" s="21" t="s">
        <v>129</v>
      </c>
      <c r="C261" s="21" t="s">
        <v>229</v>
      </c>
      <c r="D261" s="21" t="s">
        <v>222</v>
      </c>
      <c r="E261" s="21">
        <v>1.76</v>
      </c>
      <c r="F261" s="21">
        <v>2.7</v>
      </c>
      <c r="G261" s="30">
        <f t="shared" si="1"/>
        <v>2.23</v>
      </c>
      <c r="H261" s="30">
        <f t="shared" si="4"/>
        <v>2.465</v>
      </c>
      <c r="I261" s="31">
        <f t="shared" si="3"/>
        <v>0.4215246637</v>
      </c>
    </row>
    <row r="262" ht="22.5" customHeight="1">
      <c r="A262" s="35">
        <v>45849.0</v>
      </c>
      <c r="B262" s="21" t="s">
        <v>136</v>
      </c>
      <c r="C262" s="21"/>
      <c r="D262" s="21" t="s">
        <v>210</v>
      </c>
      <c r="E262" s="21">
        <v>0.6</v>
      </c>
      <c r="F262" s="21">
        <v>1.35</v>
      </c>
      <c r="G262" s="30">
        <f t="shared" si="1"/>
        <v>0.975</v>
      </c>
      <c r="H262" s="30">
        <f t="shared" si="4"/>
        <v>1.1625</v>
      </c>
      <c r="I262" s="31">
        <f t="shared" si="3"/>
        <v>0.7692307692</v>
      </c>
    </row>
    <row r="263" ht="22.5" customHeight="1">
      <c r="A263" s="35">
        <v>45849.0</v>
      </c>
      <c r="B263" s="21" t="s">
        <v>136</v>
      </c>
      <c r="C263" s="21"/>
      <c r="D263" s="21" t="s">
        <v>211</v>
      </c>
      <c r="E263" s="21">
        <v>1.36</v>
      </c>
      <c r="F263" s="21">
        <v>1.5</v>
      </c>
      <c r="G263" s="30">
        <f t="shared" si="1"/>
        <v>1.43</v>
      </c>
      <c r="H263" s="30">
        <f t="shared" si="4"/>
        <v>1.465</v>
      </c>
      <c r="I263" s="31">
        <f t="shared" si="3"/>
        <v>0.0979020979</v>
      </c>
    </row>
    <row r="264" ht="22.5" customHeight="1">
      <c r="A264" s="35">
        <v>45849.0</v>
      </c>
      <c r="B264" s="21" t="s">
        <v>136</v>
      </c>
      <c r="C264" s="21"/>
      <c r="D264" s="21" t="s">
        <v>212</v>
      </c>
      <c r="E264" s="21">
        <v>1.51</v>
      </c>
      <c r="F264" s="21">
        <v>1.9</v>
      </c>
      <c r="G264" s="30">
        <f t="shared" si="1"/>
        <v>1.705</v>
      </c>
      <c r="H264" s="30">
        <f t="shared" si="4"/>
        <v>1.8025</v>
      </c>
      <c r="I264" s="31">
        <f t="shared" si="3"/>
        <v>0.2287390029</v>
      </c>
    </row>
    <row r="265" ht="22.5" customHeight="1">
      <c r="A265" s="35">
        <v>45849.0</v>
      </c>
      <c r="B265" s="21" t="s">
        <v>139</v>
      </c>
      <c r="C265" s="21"/>
      <c r="D265" s="21" t="s">
        <v>214</v>
      </c>
      <c r="E265" s="21">
        <v>1.74</v>
      </c>
      <c r="F265" s="21">
        <v>1.93</v>
      </c>
      <c r="G265" s="30">
        <f t="shared" si="1"/>
        <v>1.835</v>
      </c>
      <c r="H265" s="30">
        <f t="shared" si="4"/>
        <v>1.8825</v>
      </c>
      <c r="I265" s="31">
        <f t="shared" si="3"/>
        <v>0.1035422343</v>
      </c>
    </row>
    <row r="266" ht="22.5" customHeight="1">
      <c r="A266" s="35">
        <v>45849.0</v>
      </c>
      <c r="B266" s="21" t="s">
        <v>139</v>
      </c>
      <c r="C266" s="21"/>
      <c r="D266" s="21" t="s">
        <v>215</v>
      </c>
      <c r="E266" s="21">
        <v>2.0</v>
      </c>
      <c r="F266" s="21">
        <v>2.0</v>
      </c>
      <c r="G266" s="30">
        <f t="shared" si="1"/>
        <v>2</v>
      </c>
      <c r="H266" s="30">
        <f t="shared" si="4"/>
        <v>2</v>
      </c>
      <c r="I266" s="31">
        <f t="shared" si="3"/>
        <v>0</v>
      </c>
    </row>
    <row r="267" ht="22.5" customHeight="1">
      <c r="A267" s="35">
        <v>45849.0</v>
      </c>
      <c r="B267" s="21" t="s">
        <v>139</v>
      </c>
      <c r="C267" s="21"/>
      <c r="D267" s="21" t="s">
        <v>216</v>
      </c>
      <c r="E267" s="21">
        <v>1.35</v>
      </c>
      <c r="F267" s="21">
        <v>1.6</v>
      </c>
      <c r="G267" s="30">
        <f t="shared" si="1"/>
        <v>1.475</v>
      </c>
      <c r="H267" s="30">
        <f t="shared" si="4"/>
        <v>1.5375</v>
      </c>
      <c r="I267" s="31">
        <f t="shared" si="3"/>
        <v>0.1694915254</v>
      </c>
    </row>
    <row r="268" ht="22.5" customHeight="1">
      <c r="A268" s="35">
        <v>45849.0</v>
      </c>
      <c r="B268" s="21" t="s">
        <v>133</v>
      </c>
      <c r="C268" s="21"/>
      <c r="D268" s="21" t="s">
        <v>217</v>
      </c>
      <c r="E268" s="21">
        <v>3500.0</v>
      </c>
      <c r="F268" s="21">
        <v>4200.0</v>
      </c>
      <c r="G268" s="30">
        <f t="shared" si="1"/>
        <v>3850</v>
      </c>
      <c r="H268" s="30">
        <f t="shared" si="4"/>
        <v>4025</v>
      </c>
      <c r="I268" s="31">
        <f t="shared" si="3"/>
        <v>0.1818181818</v>
      </c>
    </row>
    <row r="269" ht="22.5" customHeight="1">
      <c r="A269" s="35">
        <v>45849.0</v>
      </c>
      <c r="B269" s="21" t="s">
        <v>133</v>
      </c>
      <c r="C269" s="21"/>
      <c r="D269" s="21" t="s">
        <v>218</v>
      </c>
      <c r="E269" s="21">
        <v>2500.0</v>
      </c>
      <c r="F269" s="21">
        <v>3200.0</v>
      </c>
      <c r="G269" s="30">
        <f t="shared" si="1"/>
        <v>2850</v>
      </c>
      <c r="H269" s="30">
        <f t="shared" si="4"/>
        <v>3025</v>
      </c>
      <c r="I269" s="31">
        <f t="shared" si="3"/>
        <v>0.2456140351</v>
      </c>
    </row>
    <row r="270" ht="22.5" customHeight="1">
      <c r="A270" s="35">
        <v>45849.0</v>
      </c>
      <c r="B270" s="21" t="s">
        <v>133</v>
      </c>
      <c r="C270" s="21"/>
      <c r="D270" s="21" t="s">
        <v>219</v>
      </c>
      <c r="E270" s="21">
        <v>2500.0</v>
      </c>
      <c r="F270" s="21">
        <v>3400.0</v>
      </c>
      <c r="G270" s="30">
        <f t="shared" si="1"/>
        <v>2950</v>
      </c>
      <c r="H270" s="30">
        <f t="shared" si="4"/>
        <v>3175</v>
      </c>
      <c r="I270" s="31">
        <f t="shared" si="3"/>
        <v>0.3050847458</v>
      </c>
    </row>
    <row r="271" ht="22.5" customHeight="1">
      <c r="A271" s="35">
        <v>45849.0</v>
      </c>
      <c r="B271" s="21" t="s">
        <v>133</v>
      </c>
      <c r="C271" s="21"/>
      <c r="D271" s="21" t="s">
        <v>220</v>
      </c>
      <c r="E271" s="21">
        <v>1750.0</v>
      </c>
      <c r="F271" s="21">
        <v>2500.0</v>
      </c>
      <c r="G271" s="30">
        <f t="shared" si="1"/>
        <v>2125</v>
      </c>
      <c r="H271" s="30">
        <f t="shared" si="4"/>
        <v>2312.5</v>
      </c>
      <c r="I271" s="31">
        <f t="shared" si="3"/>
        <v>0.3529411765</v>
      </c>
    </row>
    <row r="272" ht="22.5" customHeight="1">
      <c r="A272" s="35">
        <v>45849.0</v>
      </c>
      <c r="B272" s="21" t="s">
        <v>120</v>
      </c>
      <c r="C272" s="21" t="s">
        <v>221</v>
      </c>
      <c r="D272" s="21" t="s">
        <v>222</v>
      </c>
      <c r="E272" s="21">
        <v>4.7</v>
      </c>
      <c r="F272" s="21">
        <v>6.05</v>
      </c>
      <c r="G272" s="30">
        <f t="shared" si="1"/>
        <v>5.375</v>
      </c>
      <c r="H272" s="30">
        <f t="shared" si="4"/>
        <v>5.7125</v>
      </c>
      <c r="I272" s="31">
        <f t="shared" si="3"/>
        <v>0.2511627907</v>
      </c>
    </row>
    <row r="273" ht="22.5" customHeight="1">
      <c r="A273" s="35">
        <v>45849.0</v>
      </c>
      <c r="B273" s="21" t="s">
        <v>120</v>
      </c>
      <c r="C273" s="21" t="s">
        <v>223</v>
      </c>
      <c r="D273" s="21" t="s">
        <v>222</v>
      </c>
      <c r="E273" s="21">
        <v>3.62</v>
      </c>
      <c r="F273" s="21">
        <v>6.0</v>
      </c>
      <c r="G273" s="30">
        <f t="shared" si="1"/>
        <v>4.81</v>
      </c>
      <c r="H273" s="30">
        <f t="shared" si="4"/>
        <v>5.405</v>
      </c>
      <c r="I273" s="31">
        <f t="shared" si="3"/>
        <v>0.4948024948</v>
      </c>
    </row>
    <row r="274" ht="22.5" customHeight="1">
      <c r="A274" s="35">
        <v>45849.0</v>
      </c>
      <c r="B274" s="21" t="s">
        <v>120</v>
      </c>
      <c r="C274" s="21" t="s">
        <v>224</v>
      </c>
      <c r="D274" s="21" t="s">
        <v>222</v>
      </c>
      <c r="E274" s="21">
        <v>3.6</v>
      </c>
      <c r="F274" s="21">
        <v>5.3</v>
      </c>
      <c r="G274" s="30">
        <f t="shared" si="1"/>
        <v>4.45</v>
      </c>
      <c r="H274" s="30">
        <f t="shared" si="4"/>
        <v>4.875</v>
      </c>
      <c r="I274" s="31">
        <f t="shared" si="3"/>
        <v>0.3820224719</v>
      </c>
    </row>
    <row r="275" ht="22.5" customHeight="1">
      <c r="A275" s="35">
        <v>45849.0</v>
      </c>
      <c r="B275" s="21" t="s">
        <v>120</v>
      </c>
      <c r="C275" s="21" t="s">
        <v>225</v>
      </c>
      <c r="D275" s="21" t="s">
        <v>222</v>
      </c>
      <c r="E275" s="21">
        <v>3.0</v>
      </c>
      <c r="F275" s="21">
        <v>4.65</v>
      </c>
      <c r="G275" s="30">
        <f t="shared" si="1"/>
        <v>3.825</v>
      </c>
      <c r="H275" s="30">
        <f t="shared" si="4"/>
        <v>4.2375</v>
      </c>
      <c r="I275" s="31">
        <f t="shared" si="3"/>
        <v>0.431372549</v>
      </c>
    </row>
    <row r="276" ht="22.5" customHeight="1">
      <c r="A276" s="35">
        <v>45849.0</v>
      </c>
      <c r="B276" s="21" t="s">
        <v>120</v>
      </c>
      <c r="C276" s="21" t="s">
        <v>226</v>
      </c>
      <c r="D276" s="21" t="s">
        <v>222</v>
      </c>
      <c r="E276" s="21">
        <v>3.0</v>
      </c>
      <c r="F276" s="21">
        <v>4.45</v>
      </c>
      <c r="G276" s="30">
        <f t="shared" si="1"/>
        <v>3.725</v>
      </c>
      <c r="H276" s="30">
        <f t="shared" si="4"/>
        <v>4.0875</v>
      </c>
      <c r="I276" s="31">
        <f t="shared" si="3"/>
        <v>0.389261745</v>
      </c>
    </row>
    <row r="277" ht="22.5" customHeight="1">
      <c r="A277" s="35">
        <v>45849.0</v>
      </c>
      <c r="B277" s="21" t="s">
        <v>120</v>
      </c>
      <c r="C277" s="21" t="s">
        <v>227</v>
      </c>
      <c r="D277" s="21" t="s">
        <v>222</v>
      </c>
      <c r="E277" s="21">
        <v>2.5</v>
      </c>
      <c r="F277" s="21">
        <v>3.51</v>
      </c>
      <c r="G277" s="30">
        <f t="shared" si="1"/>
        <v>3.005</v>
      </c>
      <c r="H277" s="30">
        <f t="shared" si="4"/>
        <v>3.2575</v>
      </c>
      <c r="I277" s="31">
        <f t="shared" si="3"/>
        <v>0.3361064892</v>
      </c>
    </row>
    <row r="278" ht="22.5" customHeight="1">
      <c r="A278" s="35">
        <v>45849.0</v>
      </c>
      <c r="B278" s="21" t="s">
        <v>120</v>
      </c>
      <c r="C278" s="21" t="s">
        <v>228</v>
      </c>
      <c r="D278" s="21" t="s">
        <v>222</v>
      </c>
      <c r="E278" s="21">
        <v>2.1</v>
      </c>
      <c r="F278" s="21">
        <v>3.25</v>
      </c>
      <c r="G278" s="30">
        <f t="shared" si="1"/>
        <v>2.675</v>
      </c>
      <c r="H278" s="30">
        <f t="shared" si="4"/>
        <v>2.9625</v>
      </c>
      <c r="I278" s="31">
        <f t="shared" si="3"/>
        <v>0.4299065421</v>
      </c>
    </row>
    <row r="279" ht="22.5" customHeight="1">
      <c r="A279" s="35">
        <v>45849.0</v>
      </c>
      <c r="B279" s="21" t="s">
        <v>120</v>
      </c>
      <c r="C279" s="21" t="s">
        <v>229</v>
      </c>
      <c r="D279" s="21" t="s">
        <v>222</v>
      </c>
      <c r="E279" s="21">
        <v>2.15</v>
      </c>
      <c r="F279" s="21">
        <v>2.95</v>
      </c>
      <c r="G279" s="30">
        <f t="shared" si="1"/>
        <v>2.55</v>
      </c>
      <c r="H279" s="30">
        <f t="shared" si="4"/>
        <v>2.75</v>
      </c>
      <c r="I279" s="31">
        <f t="shared" si="3"/>
        <v>0.3137254902</v>
      </c>
    </row>
    <row r="280" ht="22.5" customHeight="1">
      <c r="A280" s="35">
        <v>45849.0</v>
      </c>
      <c r="B280" s="21" t="s">
        <v>129</v>
      </c>
      <c r="C280" s="21" t="s">
        <v>221</v>
      </c>
      <c r="D280" s="21" t="s">
        <v>222</v>
      </c>
      <c r="E280" s="21">
        <v>4.0</v>
      </c>
      <c r="F280" s="21">
        <v>5.45</v>
      </c>
      <c r="G280" s="30">
        <f t="shared" si="1"/>
        <v>4.725</v>
      </c>
      <c r="H280" s="30">
        <f t="shared" si="4"/>
        <v>5.0875</v>
      </c>
      <c r="I280" s="31">
        <f t="shared" si="3"/>
        <v>0.3068783069</v>
      </c>
    </row>
    <row r="281" ht="22.5" customHeight="1">
      <c r="A281" s="35">
        <v>45849.0</v>
      </c>
      <c r="B281" s="21" t="s">
        <v>129</v>
      </c>
      <c r="C281" s="21" t="s">
        <v>223</v>
      </c>
      <c r="D281" s="21" t="s">
        <v>222</v>
      </c>
      <c r="E281" s="21">
        <v>3.52</v>
      </c>
      <c r="F281" s="21">
        <v>5.15</v>
      </c>
      <c r="G281" s="30">
        <f t="shared" si="1"/>
        <v>4.335</v>
      </c>
      <c r="H281" s="30">
        <f t="shared" si="4"/>
        <v>4.7425</v>
      </c>
      <c r="I281" s="31">
        <f t="shared" si="3"/>
        <v>0.3760092272</v>
      </c>
    </row>
    <row r="282" ht="22.5" customHeight="1">
      <c r="A282" s="35">
        <v>45849.0</v>
      </c>
      <c r="B282" s="21" t="s">
        <v>129</v>
      </c>
      <c r="C282" s="21" t="s">
        <v>224</v>
      </c>
      <c r="D282" s="21" t="s">
        <v>222</v>
      </c>
      <c r="E282" s="21">
        <v>3.0</v>
      </c>
      <c r="F282" s="21">
        <v>5.15</v>
      </c>
      <c r="G282" s="30">
        <f t="shared" si="1"/>
        <v>4.075</v>
      </c>
      <c r="H282" s="30">
        <f t="shared" si="4"/>
        <v>4.6125</v>
      </c>
      <c r="I282" s="31">
        <f t="shared" si="3"/>
        <v>0.527607362</v>
      </c>
    </row>
    <row r="283" ht="22.5" customHeight="1">
      <c r="A283" s="35">
        <v>45849.0</v>
      </c>
      <c r="B283" s="21" t="s">
        <v>129</v>
      </c>
      <c r="C283" s="21" t="s">
        <v>225</v>
      </c>
      <c r="D283" s="21" t="s">
        <v>222</v>
      </c>
      <c r="E283" s="21">
        <v>3.1</v>
      </c>
      <c r="F283" s="21">
        <v>5.05</v>
      </c>
      <c r="G283" s="30">
        <f t="shared" si="1"/>
        <v>4.075</v>
      </c>
      <c r="H283" s="30">
        <f t="shared" si="4"/>
        <v>4.5625</v>
      </c>
      <c r="I283" s="31">
        <f t="shared" si="3"/>
        <v>0.4785276074</v>
      </c>
    </row>
    <row r="284" ht="22.5" customHeight="1">
      <c r="A284" s="35">
        <v>45849.0</v>
      </c>
      <c r="B284" s="21" t="s">
        <v>129</v>
      </c>
      <c r="C284" s="21" t="s">
        <v>226</v>
      </c>
      <c r="D284" s="21" t="s">
        <v>222</v>
      </c>
      <c r="E284" s="21">
        <v>2.65</v>
      </c>
      <c r="F284" s="21">
        <v>3.7</v>
      </c>
      <c r="G284" s="30">
        <f t="shared" si="1"/>
        <v>3.175</v>
      </c>
      <c r="H284" s="30">
        <f t="shared" si="4"/>
        <v>3.4375</v>
      </c>
      <c r="I284" s="31">
        <f t="shared" si="3"/>
        <v>0.3307086614</v>
      </c>
    </row>
    <row r="285" ht="22.5" customHeight="1">
      <c r="A285" s="35">
        <v>45849.0</v>
      </c>
      <c r="B285" s="21" t="s">
        <v>129</v>
      </c>
      <c r="C285" s="21" t="s">
        <v>227</v>
      </c>
      <c r="D285" s="21" t="s">
        <v>222</v>
      </c>
      <c r="E285" s="21">
        <v>2.2</v>
      </c>
      <c r="F285" s="21">
        <v>3.42</v>
      </c>
      <c r="G285" s="30">
        <f t="shared" si="1"/>
        <v>2.81</v>
      </c>
      <c r="H285" s="30">
        <f t="shared" si="4"/>
        <v>3.115</v>
      </c>
      <c r="I285" s="31">
        <f t="shared" si="3"/>
        <v>0.4341637011</v>
      </c>
    </row>
    <row r="286" ht="22.5" customHeight="1">
      <c r="A286" s="35">
        <v>45849.0</v>
      </c>
      <c r="B286" s="21" t="s">
        <v>129</v>
      </c>
      <c r="C286" s="21" t="s">
        <v>228</v>
      </c>
      <c r="D286" s="21" t="s">
        <v>222</v>
      </c>
      <c r="E286" s="21">
        <v>2.2</v>
      </c>
      <c r="F286" s="21">
        <v>3.3</v>
      </c>
      <c r="G286" s="30">
        <f t="shared" si="1"/>
        <v>2.75</v>
      </c>
      <c r="H286" s="30">
        <f t="shared" si="4"/>
        <v>3.025</v>
      </c>
      <c r="I286" s="31">
        <f t="shared" si="3"/>
        <v>0.4</v>
      </c>
    </row>
    <row r="287" ht="22.5" customHeight="1">
      <c r="A287" s="35">
        <v>45849.0</v>
      </c>
      <c r="B287" s="21" t="s">
        <v>129</v>
      </c>
      <c r="C287" s="21" t="s">
        <v>229</v>
      </c>
      <c r="D287" s="21" t="s">
        <v>222</v>
      </c>
      <c r="E287" s="21">
        <v>1.76</v>
      </c>
      <c r="F287" s="21">
        <v>2.8</v>
      </c>
      <c r="G287" s="30">
        <f t="shared" si="1"/>
        <v>2.28</v>
      </c>
      <c r="H287" s="30">
        <f t="shared" si="4"/>
        <v>2.54</v>
      </c>
      <c r="I287" s="31">
        <f t="shared" si="3"/>
        <v>0.4561403509</v>
      </c>
    </row>
    <row r="288" ht="22.5" customHeight="1">
      <c r="A288" s="35">
        <v>45856.0</v>
      </c>
      <c r="B288" s="21" t="s">
        <v>136</v>
      </c>
      <c r="C288" s="21"/>
      <c r="D288" s="21" t="s">
        <v>210</v>
      </c>
      <c r="E288" s="21">
        <v>0.6</v>
      </c>
      <c r="F288" s="21">
        <v>1.35</v>
      </c>
      <c r="G288" s="30">
        <f t="shared" si="1"/>
        <v>0.975</v>
      </c>
      <c r="H288" s="30">
        <f t="shared" si="4"/>
        <v>1.1625</v>
      </c>
      <c r="I288" s="31">
        <f t="shared" si="3"/>
        <v>0.7692307692</v>
      </c>
    </row>
    <row r="289" ht="22.5" customHeight="1">
      <c r="A289" s="35">
        <v>45856.0</v>
      </c>
      <c r="B289" s="21" t="s">
        <v>136</v>
      </c>
      <c r="C289" s="21"/>
      <c r="D289" s="21" t="s">
        <v>211</v>
      </c>
      <c r="E289" s="21">
        <v>1.36</v>
      </c>
      <c r="F289" s="21">
        <v>1.5</v>
      </c>
      <c r="G289" s="30">
        <f t="shared" si="1"/>
        <v>1.43</v>
      </c>
      <c r="H289" s="30">
        <f t="shared" si="4"/>
        <v>1.465</v>
      </c>
      <c r="I289" s="31">
        <f t="shared" si="3"/>
        <v>0.0979020979</v>
      </c>
    </row>
    <row r="290" ht="22.5" customHeight="1">
      <c r="A290" s="35">
        <v>45856.0</v>
      </c>
      <c r="B290" s="21" t="s">
        <v>136</v>
      </c>
      <c r="C290" s="21"/>
      <c r="D290" s="21" t="s">
        <v>212</v>
      </c>
      <c r="E290" s="21">
        <v>1.51</v>
      </c>
      <c r="F290" s="21">
        <v>1.86</v>
      </c>
      <c r="G290" s="30">
        <f t="shared" si="1"/>
        <v>1.685</v>
      </c>
      <c r="H290" s="30">
        <f t="shared" si="4"/>
        <v>1.7725</v>
      </c>
      <c r="I290" s="31">
        <f t="shared" si="3"/>
        <v>0.2077151335</v>
      </c>
    </row>
    <row r="291" ht="22.5" customHeight="1">
      <c r="A291" s="35">
        <v>45856.0</v>
      </c>
      <c r="B291" s="21" t="s">
        <v>139</v>
      </c>
      <c r="C291" s="21"/>
      <c r="D291" s="21" t="s">
        <v>214</v>
      </c>
      <c r="E291" s="21">
        <v>1.74</v>
      </c>
      <c r="F291" s="21">
        <v>1.88</v>
      </c>
      <c r="G291" s="30">
        <f t="shared" si="1"/>
        <v>1.81</v>
      </c>
      <c r="H291" s="30">
        <f t="shared" si="4"/>
        <v>1.845</v>
      </c>
      <c r="I291" s="31">
        <f t="shared" si="3"/>
        <v>0.0773480663</v>
      </c>
    </row>
    <row r="292" ht="22.5" customHeight="1">
      <c r="A292" s="35">
        <v>45856.0</v>
      </c>
      <c r="B292" s="21" t="s">
        <v>139</v>
      </c>
      <c r="C292" s="21"/>
      <c r="D292" s="21" t="s">
        <v>215</v>
      </c>
      <c r="E292" s="21">
        <v>1.94</v>
      </c>
      <c r="F292" s="21">
        <v>1.94</v>
      </c>
      <c r="G292" s="30">
        <f t="shared" si="1"/>
        <v>1.94</v>
      </c>
      <c r="H292" s="30">
        <f t="shared" si="4"/>
        <v>1.94</v>
      </c>
      <c r="I292" s="31">
        <f t="shared" si="3"/>
        <v>0</v>
      </c>
    </row>
    <row r="293" ht="22.5" customHeight="1">
      <c r="A293" s="35">
        <v>45856.0</v>
      </c>
      <c r="B293" s="21" t="s">
        <v>139</v>
      </c>
      <c r="C293" s="21"/>
      <c r="D293" s="21" t="s">
        <v>216</v>
      </c>
      <c r="E293" s="21">
        <v>1.35</v>
      </c>
      <c r="F293" s="21">
        <v>1.6</v>
      </c>
      <c r="G293" s="30">
        <f t="shared" si="1"/>
        <v>1.475</v>
      </c>
      <c r="H293" s="30">
        <f t="shared" si="4"/>
        <v>1.5375</v>
      </c>
      <c r="I293" s="31">
        <f t="shared" si="3"/>
        <v>0.1694915254</v>
      </c>
    </row>
    <row r="294" ht="22.5" customHeight="1">
      <c r="A294" s="35">
        <v>45856.0</v>
      </c>
      <c r="B294" s="21" t="s">
        <v>133</v>
      </c>
      <c r="C294" s="21"/>
      <c r="D294" s="21" t="s">
        <v>217</v>
      </c>
      <c r="E294" s="21">
        <v>3300.0</v>
      </c>
      <c r="F294" s="21">
        <v>4100.0</v>
      </c>
      <c r="G294" s="30">
        <f t="shared" si="1"/>
        <v>3700</v>
      </c>
      <c r="H294" s="30">
        <f t="shared" si="4"/>
        <v>3900</v>
      </c>
      <c r="I294" s="31">
        <f t="shared" si="3"/>
        <v>0.2162162162</v>
      </c>
    </row>
    <row r="295" ht="22.5" customHeight="1">
      <c r="A295" s="35">
        <v>45856.0</v>
      </c>
      <c r="B295" s="21" t="s">
        <v>133</v>
      </c>
      <c r="C295" s="21"/>
      <c r="D295" s="21" t="s">
        <v>218</v>
      </c>
      <c r="E295" s="21">
        <v>2500.0</v>
      </c>
      <c r="F295" s="21">
        <v>3200.0</v>
      </c>
      <c r="G295" s="30">
        <f t="shared" si="1"/>
        <v>2850</v>
      </c>
      <c r="H295" s="30">
        <f t="shared" si="4"/>
        <v>3025</v>
      </c>
      <c r="I295" s="31">
        <f t="shared" si="3"/>
        <v>0.2456140351</v>
      </c>
    </row>
    <row r="296" ht="22.5" customHeight="1">
      <c r="A296" s="35">
        <v>45856.0</v>
      </c>
      <c r="B296" s="21" t="s">
        <v>133</v>
      </c>
      <c r="C296" s="21"/>
      <c r="D296" s="21" t="s">
        <v>219</v>
      </c>
      <c r="E296" s="21">
        <v>2500.0</v>
      </c>
      <c r="F296" s="21">
        <v>3400.0</v>
      </c>
      <c r="G296" s="30">
        <f t="shared" si="1"/>
        <v>2950</v>
      </c>
      <c r="H296" s="30">
        <f t="shared" si="4"/>
        <v>3175</v>
      </c>
      <c r="I296" s="31">
        <f t="shared" si="3"/>
        <v>0.3050847458</v>
      </c>
    </row>
    <row r="297" ht="22.5" customHeight="1">
      <c r="A297" s="35">
        <v>45856.0</v>
      </c>
      <c r="B297" s="21" t="s">
        <v>133</v>
      </c>
      <c r="C297" s="21"/>
      <c r="D297" s="21" t="s">
        <v>220</v>
      </c>
      <c r="E297" s="21">
        <v>1750.0</v>
      </c>
      <c r="F297" s="21">
        <v>2500.0</v>
      </c>
      <c r="G297" s="30">
        <f t="shared" si="1"/>
        <v>2125</v>
      </c>
      <c r="H297" s="30">
        <f t="shared" si="4"/>
        <v>2312.5</v>
      </c>
      <c r="I297" s="31">
        <f t="shared" si="3"/>
        <v>0.3529411765</v>
      </c>
    </row>
    <row r="298" ht="22.5" customHeight="1">
      <c r="A298" s="35">
        <v>45856.0</v>
      </c>
      <c r="B298" s="21" t="s">
        <v>120</v>
      </c>
      <c r="C298" s="21" t="s">
        <v>221</v>
      </c>
      <c r="D298" s="21" t="s">
        <v>222</v>
      </c>
      <c r="E298" s="21">
        <v>4.7</v>
      </c>
      <c r="F298" s="21">
        <v>6.6</v>
      </c>
      <c r="G298" s="30">
        <f t="shared" si="1"/>
        <v>5.65</v>
      </c>
      <c r="H298" s="30">
        <f t="shared" si="4"/>
        <v>6.125</v>
      </c>
      <c r="I298" s="31">
        <f t="shared" si="3"/>
        <v>0.3362831858</v>
      </c>
    </row>
    <row r="299" ht="22.5" customHeight="1">
      <c r="A299" s="35">
        <v>45856.0</v>
      </c>
      <c r="B299" s="21" t="s">
        <v>120</v>
      </c>
      <c r="C299" s="21" t="s">
        <v>223</v>
      </c>
      <c r="D299" s="21" t="s">
        <v>222</v>
      </c>
      <c r="E299" s="21">
        <v>3.62</v>
      </c>
      <c r="F299" s="21">
        <v>5.75</v>
      </c>
      <c r="G299" s="30">
        <f t="shared" si="1"/>
        <v>4.685</v>
      </c>
      <c r="H299" s="30">
        <f t="shared" si="4"/>
        <v>5.2175</v>
      </c>
      <c r="I299" s="31">
        <f t="shared" si="3"/>
        <v>0.454642476</v>
      </c>
    </row>
    <row r="300" ht="22.5" customHeight="1">
      <c r="A300" s="35">
        <v>45856.0</v>
      </c>
      <c r="B300" s="21" t="s">
        <v>120</v>
      </c>
      <c r="C300" s="21" t="s">
        <v>224</v>
      </c>
      <c r="D300" s="21" t="s">
        <v>222</v>
      </c>
      <c r="E300" s="21">
        <v>3.6</v>
      </c>
      <c r="F300" s="21">
        <v>5.55</v>
      </c>
      <c r="G300" s="30">
        <f t="shared" si="1"/>
        <v>4.575</v>
      </c>
      <c r="H300" s="30">
        <f t="shared" si="4"/>
        <v>5.0625</v>
      </c>
      <c r="I300" s="31">
        <f t="shared" si="3"/>
        <v>0.4262295082</v>
      </c>
    </row>
    <row r="301" ht="22.5" customHeight="1">
      <c r="A301" s="35">
        <v>45856.0</v>
      </c>
      <c r="B301" s="21" t="s">
        <v>120</v>
      </c>
      <c r="C301" s="21" t="s">
        <v>225</v>
      </c>
      <c r="D301" s="21" t="s">
        <v>222</v>
      </c>
      <c r="E301" s="21">
        <v>3.0</v>
      </c>
      <c r="F301" s="21">
        <v>4.85</v>
      </c>
      <c r="G301" s="30">
        <f t="shared" si="1"/>
        <v>3.925</v>
      </c>
      <c r="H301" s="30">
        <f t="shared" si="4"/>
        <v>4.3875</v>
      </c>
      <c r="I301" s="31">
        <f t="shared" si="3"/>
        <v>0.4713375796</v>
      </c>
    </row>
    <row r="302" ht="22.5" customHeight="1">
      <c r="A302" s="35">
        <v>45856.0</v>
      </c>
      <c r="B302" s="21" t="s">
        <v>120</v>
      </c>
      <c r="C302" s="21" t="s">
        <v>226</v>
      </c>
      <c r="D302" s="21" t="s">
        <v>222</v>
      </c>
      <c r="E302" s="21">
        <v>3.0</v>
      </c>
      <c r="F302" s="21">
        <v>4.15</v>
      </c>
      <c r="G302" s="30">
        <f t="shared" si="1"/>
        <v>3.575</v>
      </c>
      <c r="H302" s="30">
        <f t="shared" si="4"/>
        <v>3.8625</v>
      </c>
      <c r="I302" s="31">
        <f t="shared" si="3"/>
        <v>0.3216783217</v>
      </c>
    </row>
    <row r="303" ht="22.5" customHeight="1">
      <c r="A303" s="35">
        <v>45856.0</v>
      </c>
      <c r="B303" s="21" t="s">
        <v>120</v>
      </c>
      <c r="C303" s="21" t="s">
        <v>227</v>
      </c>
      <c r="D303" s="21" t="s">
        <v>222</v>
      </c>
      <c r="E303" s="21">
        <v>2.5</v>
      </c>
      <c r="F303" s="21">
        <v>3.5</v>
      </c>
      <c r="G303" s="30">
        <f t="shared" si="1"/>
        <v>3</v>
      </c>
      <c r="H303" s="30">
        <f t="shared" si="4"/>
        <v>3.25</v>
      </c>
      <c r="I303" s="31">
        <f t="shared" si="3"/>
        <v>0.3333333333</v>
      </c>
    </row>
    <row r="304" ht="22.5" customHeight="1">
      <c r="A304" s="35">
        <v>45856.0</v>
      </c>
      <c r="B304" s="21" t="s">
        <v>120</v>
      </c>
      <c r="C304" s="21" t="s">
        <v>228</v>
      </c>
      <c r="D304" s="21" t="s">
        <v>222</v>
      </c>
      <c r="E304" s="21">
        <v>2.1</v>
      </c>
      <c r="F304" s="21">
        <v>3.22</v>
      </c>
      <c r="G304" s="30">
        <f t="shared" si="1"/>
        <v>2.66</v>
      </c>
      <c r="H304" s="30">
        <f t="shared" si="4"/>
        <v>2.94</v>
      </c>
      <c r="I304" s="31">
        <f t="shared" si="3"/>
        <v>0.4210526316</v>
      </c>
    </row>
    <row r="305" ht="22.5" customHeight="1">
      <c r="A305" s="35">
        <v>45856.0</v>
      </c>
      <c r="B305" s="21" t="s">
        <v>120</v>
      </c>
      <c r="C305" s="21" t="s">
        <v>229</v>
      </c>
      <c r="D305" s="21" t="s">
        <v>222</v>
      </c>
      <c r="E305" s="21">
        <v>2.15</v>
      </c>
      <c r="F305" s="21">
        <v>2.8</v>
      </c>
      <c r="G305" s="30">
        <f t="shared" si="1"/>
        <v>2.475</v>
      </c>
      <c r="H305" s="30">
        <f t="shared" si="4"/>
        <v>2.6375</v>
      </c>
      <c r="I305" s="31">
        <f t="shared" si="3"/>
        <v>0.2626262626</v>
      </c>
    </row>
    <row r="306" ht="22.5" customHeight="1">
      <c r="A306" s="35">
        <v>45856.0</v>
      </c>
      <c r="B306" s="21" t="s">
        <v>129</v>
      </c>
      <c r="C306" s="21" t="s">
        <v>221</v>
      </c>
      <c r="D306" s="21" t="s">
        <v>222</v>
      </c>
      <c r="E306" s="21">
        <v>4.0</v>
      </c>
      <c r="F306" s="21">
        <v>5.7</v>
      </c>
      <c r="G306" s="30">
        <f t="shared" si="1"/>
        <v>4.85</v>
      </c>
      <c r="H306" s="30">
        <f t="shared" si="4"/>
        <v>5.275</v>
      </c>
      <c r="I306" s="31">
        <f t="shared" si="3"/>
        <v>0.3505154639</v>
      </c>
    </row>
    <row r="307" ht="22.5" customHeight="1">
      <c r="A307" s="35">
        <v>45856.0</v>
      </c>
      <c r="B307" s="21" t="s">
        <v>129</v>
      </c>
      <c r="C307" s="21" t="s">
        <v>223</v>
      </c>
      <c r="D307" s="21" t="s">
        <v>222</v>
      </c>
      <c r="E307" s="21">
        <v>3.52</v>
      </c>
      <c r="F307" s="21">
        <v>5.45</v>
      </c>
      <c r="G307" s="30">
        <f t="shared" si="1"/>
        <v>4.485</v>
      </c>
      <c r="H307" s="30">
        <f t="shared" si="4"/>
        <v>4.9675</v>
      </c>
      <c r="I307" s="31">
        <f t="shared" si="3"/>
        <v>0.4303232999</v>
      </c>
    </row>
    <row r="308" ht="22.5" customHeight="1">
      <c r="A308" s="35">
        <v>45856.0</v>
      </c>
      <c r="B308" s="21" t="s">
        <v>129</v>
      </c>
      <c r="C308" s="21" t="s">
        <v>224</v>
      </c>
      <c r="D308" s="21" t="s">
        <v>222</v>
      </c>
      <c r="E308" s="21">
        <v>3.0</v>
      </c>
      <c r="F308" s="21">
        <v>4.9</v>
      </c>
      <c r="G308" s="30">
        <f t="shared" si="1"/>
        <v>3.95</v>
      </c>
      <c r="H308" s="30">
        <f t="shared" si="4"/>
        <v>4.425</v>
      </c>
      <c r="I308" s="31">
        <f t="shared" si="3"/>
        <v>0.4810126582</v>
      </c>
    </row>
    <row r="309" ht="22.5" customHeight="1">
      <c r="A309" s="35">
        <v>45856.0</v>
      </c>
      <c r="B309" s="21" t="s">
        <v>129</v>
      </c>
      <c r="C309" s="21" t="s">
        <v>225</v>
      </c>
      <c r="D309" s="21" t="s">
        <v>222</v>
      </c>
      <c r="E309" s="21">
        <v>3.1</v>
      </c>
      <c r="F309" s="21">
        <v>4.4</v>
      </c>
      <c r="G309" s="30">
        <f t="shared" si="1"/>
        <v>3.75</v>
      </c>
      <c r="H309" s="30">
        <f t="shared" si="4"/>
        <v>4.075</v>
      </c>
      <c r="I309" s="31">
        <f t="shared" si="3"/>
        <v>0.3466666667</v>
      </c>
    </row>
    <row r="310" ht="22.5" customHeight="1">
      <c r="A310" s="35">
        <v>45856.0</v>
      </c>
      <c r="B310" s="21" t="s">
        <v>129</v>
      </c>
      <c r="C310" s="21" t="s">
        <v>226</v>
      </c>
      <c r="D310" s="21" t="s">
        <v>222</v>
      </c>
      <c r="E310" s="21">
        <v>2.65</v>
      </c>
      <c r="F310" s="21">
        <v>4.2</v>
      </c>
      <c r="G310" s="30">
        <f t="shared" si="1"/>
        <v>3.425</v>
      </c>
      <c r="H310" s="30">
        <f t="shared" si="4"/>
        <v>3.8125</v>
      </c>
      <c r="I310" s="31">
        <f t="shared" si="3"/>
        <v>0.4525547445</v>
      </c>
    </row>
    <row r="311" ht="22.5" customHeight="1">
      <c r="A311" s="35">
        <v>45856.0</v>
      </c>
      <c r="B311" s="21" t="s">
        <v>129</v>
      </c>
      <c r="C311" s="21" t="s">
        <v>227</v>
      </c>
      <c r="D311" s="21" t="s">
        <v>222</v>
      </c>
      <c r="E311" s="21">
        <v>2.2</v>
      </c>
      <c r="F311" s="21">
        <v>3.72</v>
      </c>
      <c r="G311" s="30">
        <f t="shared" si="1"/>
        <v>2.96</v>
      </c>
      <c r="H311" s="30">
        <f t="shared" si="4"/>
        <v>3.34</v>
      </c>
      <c r="I311" s="31">
        <f t="shared" si="3"/>
        <v>0.5135135135</v>
      </c>
    </row>
    <row r="312" ht="22.5" customHeight="1">
      <c r="A312" s="35">
        <v>45856.0</v>
      </c>
      <c r="B312" s="21" t="s">
        <v>129</v>
      </c>
      <c r="C312" s="21" t="s">
        <v>228</v>
      </c>
      <c r="D312" s="21" t="s">
        <v>222</v>
      </c>
      <c r="E312" s="21">
        <v>2.2</v>
      </c>
      <c r="F312" s="21">
        <v>3.24</v>
      </c>
      <c r="G312" s="30">
        <f t="shared" si="1"/>
        <v>2.72</v>
      </c>
      <c r="H312" s="30">
        <f t="shared" si="4"/>
        <v>2.98</v>
      </c>
      <c r="I312" s="31">
        <f t="shared" si="3"/>
        <v>0.3823529412</v>
      </c>
    </row>
    <row r="313" ht="22.5" customHeight="1">
      <c r="A313" s="35">
        <v>45856.0</v>
      </c>
      <c r="B313" s="21" t="s">
        <v>129</v>
      </c>
      <c r="C313" s="21" t="s">
        <v>229</v>
      </c>
      <c r="D313" s="21" t="s">
        <v>222</v>
      </c>
      <c r="E313" s="21">
        <v>1.76</v>
      </c>
      <c r="F313" s="21">
        <v>2.8</v>
      </c>
      <c r="G313" s="30">
        <f t="shared" si="1"/>
        <v>2.28</v>
      </c>
      <c r="H313" s="30">
        <f t="shared" si="4"/>
        <v>2.54</v>
      </c>
      <c r="I313" s="31">
        <f t="shared" si="3"/>
        <v>0.4561403509</v>
      </c>
    </row>
    <row r="314" ht="22.5" customHeight="1">
      <c r="A314" s="35">
        <v>45863.0</v>
      </c>
      <c r="B314" s="21" t="s">
        <v>136</v>
      </c>
      <c r="C314" s="21"/>
      <c r="D314" s="21" t="s">
        <v>210</v>
      </c>
      <c r="E314" s="21">
        <v>0.6</v>
      </c>
      <c r="F314" s="21">
        <v>1.35</v>
      </c>
      <c r="G314" s="30">
        <f t="shared" si="1"/>
        <v>0.975</v>
      </c>
      <c r="H314" s="30">
        <f t="shared" si="4"/>
        <v>1.1625</v>
      </c>
      <c r="I314" s="31">
        <f t="shared" si="3"/>
        <v>0.7692307692</v>
      </c>
    </row>
    <row r="315" ht="22.5" customHeight="1">
      <c r="A315" s="35">
        <v>45863.0</v>
      </c>
      <c r="B315" s="21" t="s">
        <v>136</v>
      </c>
      <c r="C315" s="21"/>
      <c r="D315" s="21" t="s">
        <v>211</v>
      </c>
      <c r="E315" s="21">
        <v>1.36</v>
      </c>
      <c r="F315" s="21">
        <v>1.5</v>
      </c>
      <c r="G315" s="30">
        <f t="shared" si="1"/>
        <v>1.43</v>
      </c>
      <c r="H315" s="30">
        <f t="shared" si="4"/>
        <v>1.465</v>
      </c>
      <c r="I315" s="31">
        <f t="shared" si="3"/>
        <v>0.0979020979</v>
      </c>
    </row>
    <row r="316" ht="22.5" customHeight="1">
      <c r="A316" s="35">
        <v>45863.0</v>
      </c>
      <c r="B316" s="21" t="s">
        <v>136</v>
      </c>
      <c r="C316" s="21"/>
      <c r="D316" s="21" t="s">
        <v>212</v>
      </c>
      <c r="E316" s="21">
        <v>1.51</v>
      </c>
      <c r="F316" s="21">
        <v>1.85</v>
      </c>
      <c r="G316" s="30">
        <f t="shared" si="1"/>
        <v>1.68</v>
      </c>
      <c r="H316" s="30">
        <f t="shared" si="4"/>
        <v>1.765</v>
      </c>
      <c r="I316" s="31">
        <f t="shared" si="3"/>
        <v>0.2023809524</v>
      </c>
    </row>
    <row r="317" ht="22.5" customHeight="1">
      <c r="A317" s="35">
        <v>45863.0</v>
      </c>
      <c r="B317" s="21" t="s">
        <v>139</v>
      </c>
      <c r="C317" s="21"/>
      <c r="D317" s="21" t="s">
        <v>214</v>
      </c>
      <c r="E317" s="21">
        <v>1.74</v>
      </c>
      <c r="F317" s="21">
        <v>1.88</v>
      </c>
      <c r="G317" s="30">
        <f t="shared" si="1"/>
        <v>1.81</v>
      </c>
      <c r="H317" s="30">
        <f t="shared" si="4"/>
        <v>1.845</v>
      </c>
      <c r="I317" s="31">
        <f t="shared" si="3"/>
        <v>0.0773480663</v>
      </c>
    </row>
    <row r="318" ht="22.5" customHeight="1">
      <c r="A318" s="35">
        <v>45863.0</v>
      </c>
      <c r="B318" s="21" t="s">
        <v>139</v>
      </c>
      <c r="C318" s="21"/>
      <c r="D318" s="21" t="s">
        <v>215</v>
      </c>
      <c r="E318" s="21">
        <v>1.95</v>
      </c>
      <c r="F318" s="21">
        <v>1.95</v>
      </c>
      <c r="G318" s="30">
        <f t="shared" si="1"/>
        <v>1.95</v>
      </c>
      <c r="H318" s="30">
        <f t="shared" si="4"/>
        <v>1.95</v>
      </c>
      <c r="I318" s="31">
        <f t="shared" si="3"/>
        <v>0</v>
      </c>
    </row>
    <row r="319" ht="22.5" customHeight="1">
      <c r="A319" s="35">
        <v>45863.0</v>
      </c>
      <c r="B319" s="21" t="s">
        <v>139</v>
      </c>
      <c r="C319" s="21"/>
      <c r="D319" s="21" t="s">
        <v>216</v>
      </c>
      <c r="E319" s="21">
        <v>1.35</v>
      </c>
      <c r="F319" s="21">
        <v>1.6</v>
      </c>
      <c r="G319" s="30">
        <f t="shared" si="1"/>
        <v>1.475</v>
      </c>
      <c r="H319" s="30">
        <f t="shared" si="4"/>
        <v>1.5375</v>
      </c>
      <c r="I319" s="31">
        <f t="shared" si="3"/>
        <v>0.1694915254</v>
      </c>
    </row>
    <row r="320" ht="22.5" customHeight="1">
      <c r="A320" s="35">
        <v>45863.0</v>
      </c>
      <c r="B320" s="21" t="s">
        <v>133</v>
      </c>
      <c r="C320" s="21"/>
      <c r="D320" s="21" t="s">
        <v>217</v>
      </c>
      <c r="E320" s="21">
        <v>3300.0</v>
      </c>
      <c r="F320" s="21">
        <v>4400.0</v>
      </c>
      <c r="G320" s="30">
        <f t="shared" si="1"/>
        <v>3850</v>
      </c>
      <c r="H320" s="30">
        <f t="shared" si="4"/>
        <v>4125</v>
      </c>
      <c r="I320" s="31">
        <f t="shared" si="3"/>
        <v>0.2857142857</v>
      </c>
    </row>
    <row r="321" ht="22.5" customHeight="1">
      <c r="A321" s="35">
        <v>45863.0</v>
      </c>
      <c r="B321" s="21" t="s">
        <v>133</v>
      </c>
      <c r="C321" s="21"/>
      <c r="D321" s="21" t="s">
        <v>218</v>
      </c>
      <c r="E321" s="21">
        <v>2500.0</v>
      </c>
      <c r="F321" s="21">
        <v>3200.0</v>
      </c>
      <c r="G321" s="30">
        <f t="shared" si="1"/>
        <v>2850</v>
      </c>
      <c r="H321" s="30">
        <f t="shared" si="4"/>
        <v>3025</v>
      </c>
      <c r="I321" s="31">
        <f t="shared" si="3"/>
        <v>0.2456140351</v>
      </c>
    </row>
    <row r="322" ht="22.5" customHeight="1">
      <c r="A322" s="35">
        <v>45863.0</v>
      </c>
      <c r="B322" s="21" t="s">
        <v>133</v>
      </c>
      <c r="C322" s="21"/>
      <c r="D322" s="21" t="s">
        <v>219</v>
      </c>
      <c r="E322" s="21">
        <v>2500.0</v>
      </c>
      <c r="F322" s="21">
        <v>3400.0</v>
      </c>
      <c r="G322" s="30">
        <f t="shared" si="1"/>
        <v>2950</v>
      </c>
      <c r="H322" s="30">
        <f t="shared" si="4"/>
        <v>3175</v>
      </c>
      <c r="I322" s="31">
        <f t="shared" si="3"/>
        <v>0.3050847458</v>
      </c>
    </row>
    <row r="323" ht="22.5" customHeight="1">
      <c r="A323" s="35">
        <v>45863.0</v>
      </c>
      <c r="B323" s="21" t="s">
        <v>133</v>
      </c>
      <c r="C323" s="21"/>
      <c r="D323" s="21" t="s">
        <v>220</v>
      </c>
      <c r="E323" s="21">
        <v>1750.0</v>
      </c>
      <c r="F323" s="21">
        <v>2500.0</v>
      </c>
      <c r="G323" s="30">
        <f t="shared" si="1"/>
        <v>2125</v>
      </c>
      <c r="H323" s="30">
        <f t="shared" si="4"/>
        <v>2312.5</v>
      </c>
      <c r="I323" s="31">
        <f t="shared" si="3"/>
        <v>0.3529411765</v>
      </c>
    </row>
    <row r="324" ht="22.5" customHeight="1">
      <c r="A324" s="35">
        <v>45863.0</v>
      </c>
      <c r="B324" s="21" t="s">
        <v>120</v>
      </c>
      <c r="C324" s="21" t="s">
        <v>221</v>
      </c>
      <c r="D324" s="21" t="s">
        <v>222</v>
      </c>
      <c r="E324" s="21">
        <v>4.7</v>
      </c>
      <c r="F324" s="21">
        <v>6.1</v>
      </c>
      <c r="G324" s="30">
        <f t="shared" si="1"/>
        <v>5.4</v>
      </c>
      <c r="H324" s="30">
        <f t="shared" si="4"/>
        <v>5.75</v>
      </c>
      <c r="I324" s="31">
        <f t="shared" si="3"/>
        <v>0.2592592593</v>
      </c>
    </row>
    <row r="325" ht="22.5" customHeight="1">
      <c r="A325" s="35">
        <v>45863.0</v>
      </c>
      <c r="B325" s="21" t="s">
        <v>120</v>
      </c>
      <c r="C325" s="21" t="s">
        <v>223</v>
      </c>
      <c r="D325" s="21" t="s">
        <v>222</v>
      </c>
      <c r="E325" s="21">
        <v>3.62</v>
      </c>
      <c r="F325" s="21">
        <v>5.9</v>
      </c>
      <c r="G325" s="30">
        <f t="shared" si="1"/>
        <v>4.76</v>
      </c>
      <c r="H325" s="30">
        <f t="shared" si="4"/>
        <v>5.33</v>
      </c>
      <c r="I325" s="31">
        <f t="shared" si="3"/>
        <v>0.4789915966</v>
      </c>
    </row>
    <row r="326" ht="22.5" customHeight="1">
      <c r="A326" s="35">
        <v>45863.0</v>
      </c>
      <c r="B326" s="21" t="s">
        <v>120</v>
      </c>
      <c r="C326" s="21" t="s">
        <v>224</v>
      </c>
      <c r="D326" s="21" t="s">
        <v>222</v>
      </c>
      <c r="E326" s="21">
        <v>3.6</v>
      </c>
      <c r="F326" s="21">
        <v>5.7</v>
      </c>
      <c r="G326" s="30">
        <f t="shared" si="1"/>
        <v>4.65</v>
      </c>
      <c r="H326" s="30">
        <f t="shared" si="4"/>
        <v>5.175</v>
      </c>
      <c r="I326" s="31">
        <f t="shared" si="3"/>
        <v>0.4516129032</v>
      </c>
    </row>
    <row r="327" ht="22.5" customHeight="1">
      <c r="A327" s="35">
        <v>45863.0</v>
      </c>
      <c r="B327" s="21" t="s">
        <v>120</v>
      </c>
      <c r="C327" s="21" t="s">
        <v>225</v>
      </c>
      <c r="D327" s="21" t="s">
        <v>222</v>
      </c>
      <c r="E327" s="21">
        <v>3.0</v>
      </c>
      <c r="F327" s="21">
        <v>5.25</v>
      </c>
      <c r="G327" s="30">
        <f t="shared" si="1"/>
        <v>4.125</v>
      </c>
      <c r="H327" s="30">
        <f t="shared" si="4"/>
        <v>4.6875</v>
      </c>
      <c r="I327" s="31">
        <f t="shared" si="3"/>
        <v>0.5454545455</v>
      </c>
    </row>
    <row r="328" ht="22.5" customHeight="1">
      <c r="A328" s="35">
        <v>45863.0</v>
      </c>
      <c r="B328" s="21" t="s">
        <v>120</v>
      </c>
      <c r="C328" s="21" t="s">
        <v>226</v>
      </c>
      <c r="D328" s="21" t="s">
        <v>222</v>
      </c>
      <c r="E328" s="21">
        <v>3.0</v>
      </c>
      <c r="F328" s="21">
        <v>4.22</v>
      </c>
      <c r="G328" s="30">
        <f t="shared" si="1"/>
        <v>3.61</v>
      </c>
      <c r="H328" s="30">
        <f t="shared" si="4"/>
        <v>3.915</v>
      </c>
      <c r="I328" s="31">
        <f t="shared" si="3"/>
        <v>0.3379501385</v>
      </c>
    </row>
    <row r="329" ht="22.5" customHeight="1">
      <c r="A329" s="35">
        <v>45863.0</v>
      </c>
      <c r="B329" s="21" t="s">
        <v>120</v>
      </c>
      <c r="C329" s="21" t="s">
        <v>227</v>
      </c>
      <c r="D329" s="21" t="s">
        <v>222</v>
      </c>
      <c r="E329" s="21">
        <v>2.5</v>
      </c>
      <c r="F329" s="21">
        <v>3.72</v>
      </c>
      <c r="G329" s="30">
        <f t="shared" si="1"/>
        <v>3.11</v>
      </c>
      <c r="H329" s="30">
        <f t="shared" si="4"/>
        <v>3.415</v>
      </c>
      <c r="I329" s="31">
        <f t="shared" si="3"/>
        <v>0.3922829582</v>
      </c>
    </row>
    <row r="330" ht="22.5" customHeight="1">
      <c r="A330" s="35">
        <v>45863.0</v>
      </c>
      <c r="B330" s="21" t="s">
        <v>120</v>
      </c>
      <c r="C330" s="21" t="s">
        <v>228</v>
      </c>
      <c r="D330" s="21" t="s">
        <v>222</v>
      </c>
      <c r="E330" s="21">
        <v>2.1</v>
      </c>
      <c r="F330" s="21">
        <v>3.36</v>
      </c>
      <c r="G330" s="30">
        <f t="shared" si="1"/>
        <v>2.73</v>
      </c>
      <c r="H330" s="30">
        <f t="shared" si="4"/>
        <v>3.045</v>
      </c>
      <c r="I330" s="31">
        <f t="shared" si="3"/>
        <v>0.4615384615</v>
      </c>
    </row>
    <row r="331" ht="22.5" customHeight="1">
      <c r="A331" s="35">
        <v>45863.0</v>
      </c>
      <c r="B331" s="21" t="s">
        <v>120</v>
      </c>
      <c r="C331" s="21" t="s">
        <v>229</v>
      </c>
      <c r="D331" s="21" t="s">
        <v>222</v>
      </c>
      <c r="E331" s="21">
        <v>2.15</v>
      </c>
      <c r="F331" s="21">
        <v>3.14</v>
      </c>
      <c r="G331" s="30">
        <f t="shared" si="1"/>
        <v>2.645</v>
      </c>
      <c r="H331" s="30">
        <f t="shared" si="4"/>
        <v>2.8925</v>
      </c>
      <c r="I331" s="31">
        <f t="shared" si="3"/>
        <v>0.3742911153</v>
      </c>
    </row>
    <row r="332" ht="22.5" customHeight="1">
      <c r="A332" s="35">
        <v>45863.0</v>
      </c>
      <c r="B332" s="21" t="s">
        <v>129</v>
      </c>
      <c r="C332" s="21" t="s">
        <v>221</v>
      </c>
      <c r="D332" s="21" t="s">
        <v>222</v>
      </c>
      <c r="E332" s="21">
        <v>4.0</v>
      </c>
      <c r="F332" s="21">
        <v>5.7</v>
      </c>
      <c r="G332" s="30">
        <f t="shared" si="1"/>
        <v>4.85</v>
      </c>
      <c r="H332" s="30">
        <f t="shared" si="4"/>
        <v>5.275</v>
      </c>
      <c r="I332" s="31">
        <f t="shared" si="3"/>
        <v>0.3505154639</v>
      </c>
    </row>
    <row r="333" ht="22.5" customHeight="1">
      <c r="A333" s="35">
        <v>45863.0</v>
      </c>
      <c r="B333" s="21" t="s">
        <v>129</v>
      </c>
      <c r="C333" s="21" t="s">
        <v>223</v>
      </c>
      <c r="D333" s="21" t="s">
        <v>222</v>
      </c>
      <c r="E333" s="21">
        <v>3.52</v>
      </c>
      <c r="F333" s="21">
        <v>4.8</v>
      </c>
      <c r="G333" s="30">
        <f t="shared" si="1"/>
        <v>4.16</v>
      </c>
      <c r="H333" s="30">
        <f t="shared" si="4"/>
        <v>4.48</v>
      </c>
      <c r="I333" s="31">
        <f t="shared" si="3"/>
        <v>0.3076923077</v>
      </c>
    </row>
    <row r="334" ht="22.5" customHeight="1">
      <c r="A334" s="35">
        <v>45863.0</v>
      </c>
      <c r="B334" s="21" t="s">
        <v>129</v>
      </c>
      <c r="C334" s="21" t="s">
        <v>224</v>
      </c>
      <c r="D334" s="21" t="s">
        <v>222</v>
      </c>
      <c r="E334" s="21">
        <v>3.0</v>
      </c>
      <c r="F334" s="21">
        <v>4.65</v>
      </c>
      <c r="G334" s="30">
        <f t="shared" si="1"/>
        <v>3.825</v>
      </c>
      <c r="H334" s="30">
        <f t="shared" si="4"/>
        <v>4.2375</v>
      </c>
      <c r="I334" s="31">
        <f t="shared" si="3"/>
        <v>0.431372549</v>
      </c>
    </row>
    <row r="335" ht="22.5" customHeight="1">
      <c r="A335" s="35">
        <v>45863.0</v>
      </c>
      <c r="B335" s="21" t="s">
        <v>129</v>
      </c>
      <c r="C335" s="21" t="s">
        <v>225</v>
      </c>
      <c r="D335" s="21" t="s">
        <v>222</v>
      </c>
      <c r="E335" s="21">
        <v>3.1</v>
      </c>
      <c r="F335" s="21">
        <v>4.4</v>
      </c>
      <c r="G335" s="30">
        <f t="shared" si="1"/>
        <v>3.75</v>
      </c>
      <c r="H335" s="30">
        <f t="shared" si="4"/>
        <v>4.075</v>
      </c>
      <c r="I335" s="31">
        <f t="shared" si="3"/>
        <v>0.3466666667</v>
      </c>
    </row>
    <row r="336" ht="22.5" customHeight="1">
      <c r="A336" s="35">
        <v>45863.0</v>
      </c>
      <c r="B336" s="21" t="s">
        <v>129</v>
      </c>
      <c r="C336" s="21" t="s">
        <v>226</v>
      </c>
      <c r="D336" s="21" t="s">
        <v>222</v>
      </c>
      <c r="E336" s="21">
        <v>2.65</v>
      </c>
      <c r="F336" s="21">
        <v>4.15</v>
      </c>
      <c r="G336" s="30">
        <f t="shared" si="1"/>
        <v>3.4</v>
      </c>
      <c r="H336" s="30">
        <f t="shared" si="4"/>
        <v>3.775</v>
      </c>
      <c r="I336" s="31">
        <f t="shared" si="3"/>
        <v>0.4411764706</v>
      </c>
    </row>
    <row r="337" ht="22.5" customHeight="1">
      <c r="A337" s="35">
        <v>45863.0</v>
      </c>
      <c r="B337" s="21" t="s">
        <v>129</v>
      </c>
      <c r="C337" s="21" t="s">
        <v>227</v>
      </c>
      <c r="D337" s="21" t="s">
        <v>222</v>
      </c>
      <c r="E337" s="21">
        <v>2.2</v>
      </c>
      <c r="F337" s="21">
        <v>3.65</v>
      </c>
      <c r="G337" s="30">
        <f t="shared" si="1"/>
        <v>2.925</v>
      </c>
      <c r="H337" s="30">
        <f t="shared" si="4"/>
        <v>3.2875</v>
      </c>
      <c r="I337" s="31">
        <f t="shared" si="3"/>
        <v>0.4957264957</v>
      </c>
    </row>
    <row r="338" ht="22.5" customHeight="1">
      <c r="A338" s="35">
        <v>45863.0</v>
      </c>
      <c r="B338" s="21" t="s">
        <v>129</v>
      </c>
      <c r="C338" s="21" t="s">
        <v>228</v>
      </c>
      <c r="D338" s="21" t="s">
        <v>222</v>
      </c>
      <c r="E338" s="21">
        <v>2.2</v>
      </c>
      <c r="F338" s="21">
        <v>3.2</v>
      </c>
      <c r="G338" s="30">
        <f t="shared" si="1"/>
        <v>2.7</v>
      </c>
      <c r="H338" s="30">
        <f t="shared" si="4"/>
        <v>2.95</v>
      </c>
      <c r="I338" s="31">
        <f t="shared" si="3"/>
        <v>0.3703703704</v>
      </c>
    </row>
    <row r="339" ht="22.5" customHeight="1">
      <c r="A339" s="35">
        <v>45863.0</v>
      </c>
      <c r="B339" s="21" t="s">
        <v>129</v>
      </c>
      <c r="C339" s="21" t="s">
        <v>229</v>
      </c>
      <c r="D339" s="21" t="s">
        <v>222</v>
      </c>
      <c r="E339" s="21">
        <v>1.76</v>
      </c>
      <c r="F339" s="21">
        <v>2.8</v>
      </c>
      <c r="G339" s="30">
        <f t="shared" si="1"/>
        <v>2.28</v>
      </c>
      <c r="H339" s="30">
        <f t="shared" si="4"/>
        <v>2.54</v>
      </c>
      <c r="I339" s="31">
        <f t="shared" si="3"/>
        <v>0.4561403509</v>
      </c>
    </row>
    <row r="340" ht="22.5" customHeight="1">
      <c r="A340" s="35">
        <v>45870.0</v>
      </c>
      <c r="B340" s="21" t="s">
        <v>136</v>
      </c>
      <c r="C340" s="21"/>
      <c r="D340" s="21" t="s">
        <v>210</v>
      </c>
      <c r="E340" s="21">
        <v>0.6</v>
      </c>
      <c r="F340" s="21">
        <v>1.35</v>
      </c>
      <c r="G340" s="30">
        <f t="shared" si="1"/>
        <v>0.975</v>
      </c>
      <c r="H340" s="30">
        <f t="shared" si="4"/>
        <v>1.1625</v>
      </c>
      <c r="I340" s="31">
        <f t="shared" si="3"/>
        <v>0.7692307692</v>
      </c>
    </row>
    <row r="341" ht="22.5" customHeight="1">
      <c r="A341" s="35">
        <v>45870.0</v>
      </c>
      <c r="B341" s="21" t="s">
        <v>136</v>
      </c>
      <c r="C341" s="21"/>
      <c r="D341" s="21" t="s">
        <v>211</v>
      </c>
      <c r="E341" s="21">
        <v>1.36</v>
      </c>
      <c r="F341" s="21">
        <v>1.5</v>
      </c>
      <c r="G341" s="30">
        <f t="shared" si="1"/>
        <v>1.43</v>
      </c>
      <c r="H341" s="30">
        <f t="shared" si="4"/>
        <v>1.465</v>
      </c>
      <c r="I341" s="31">
        <f t="shared" si="3"/>
        <v>0.0979020979</v>
      </c>
    </row>
    <row r="342" ht="22.5" customHeight="1">
      <c r="A342" s="35">
        <v>45870.0</v>
      </c>
      <c r="B342" s="21" t="s">
        <v>136</v>
      </c>
      <c r="C342" s="21"/>
      <c r="D342" s="21" t="s">
        <v>212</v>
      </c>
      <c r="E342" s="21">
        <v>1.51</v>
      </c>
      <c r="F342" s="21">
        <v>1.8</v>
      </c>
      <c r="G342" s="30">
        <f t="shared" si="1"/>
        <v>1.655</v>
      </c>
      <c r="H342" s="30">
        <f t="shared" si="4"/>
        <v>1.7275</v>
      </c>
      <c r="I342" s="31">
        <f t="shared" si="3"/>
        <v>0.1752265861</v>
      </c>
    </row>
    <row r="343" ht="22.5" customHeight="1">
      <c r="A343" s="35">
        <v>45870.0</v>
      </c>
      <c r="B343" s="21" t="s">
        <v>139</v>
      </c>
      <c r="C343" s="21"/>
      <c r="D343" s="21" t="s">
        <v>214</v>
      </c>
      <c r="E343" s="21">
        <v>1.74</v>
      </c>
      <c r="F343" s="21">
        <v>1.91</v>
      </c>
      <c r="G343" s="30">
        <f t="shared" si="1"/>
        <v>1.825</v>
      </c>
      <c r="H343" s="30">
        <f t="shared" si="4"/>
        <v>1.8675</v>
      </c>
      <c r="I343" s="31">
        <f t="shared" si="3"/>
        <v>0.09315068493</v>
      </c>
    </row>
    <row r="344" ht="22.5" customHeight="1">
      <c r="A344" s="35">
        <v>45870.0</v>
      </c>
      <c r="B344" s="21" t="s">
        <v>139</v>
      </c>
      <c r="C344" s="21"/>
      <c r="D344" s="21" t="s">
        <v>215</v>
      </c>
      <c r="E344" s="21">
        <v>1.98</v>
      </c>
      <c r="F344" s="21">
        <v>1.98</v>
      </c>
      <c r="G344" s="30">
        <f t="shared" si="1"/>
        <v>1.98</v>
      </c>
      <c r="H344" s="30">
        <f t="shared" si="4"/>
        <v>1.98</v>
      </c>
      <c r="I344" s="31">
        <f t="shared" si="3"/>
        <v>0</v>
      </c>
    </row>
    <row r="345" ht="22.5" customHeight="1">
      <c r="A345" s="35">
        <v>45870.0</v>
      </c>
      <c r="B345" s="21" t="s">
        <v>139</v>
      </c>
      <c r="C345" s="21"/>
      <c r="D345" s="21" t="s">
        <v>216</v>
      </c>
      <c r="E345" s="21">
        <v>1.35</v>
      </c>
      <c r="F345" s="21">
        <v>1.6</v>
      </c>
      <c r="G345" s="30">
        <f t="shared" si="1"/>
        <v>1.475</v>
      </c>
      <c r="H345" s="30">
        <f t="shared" si="4"/>
        <v>1.5375</v>
      </c>
      <c r="I345" s="31">
        <f t="shared" si="3"/>
        <v>0.1694915254</v>
      </c>
    </row>
    <row r="346" ht="22.5" customHeight="1">
      <c r="A346" s="35">
        <v>45870.0</v>
      </c>
      <c r="B346" s="21" t="s">
        <v>133</v>
      </c>
      <c r="C346" s="21"/>
      <c r="D346" s="21" t="s">
        <v>217</v>
      </c>
      <c r="E346" s="21">
        <v>3800.0</v>
      </c>
      <c r="F346" s="21">
        <v>5100.0</v>
      </c>
      <c r="G346" s="30">
        <f t="shared" si="1"/>
        <v>4450</v>
      </c>
      <c r="H346" s="30">
        <f t="shared" si="4"/>
        <v>4775</v>
      </c>
      <c r="I346" s="31">
        <f t="shared" si="3"/>
        <v>0.2921348315</v>
      </c>
    </row>
    <row r="347" ht="22.5" customHeight="1">
      <c r="A347" s="35">
        <v>45870.0</v>
      </c>
      <c r="B347" s="21" t="s">
        <v>133</v>
      </c>
      <c r="C347" s="21"/>
      <c r="D347" s="21" t="s">
        <v>218</v>
      </c>
      <c r="E347" s="21">
        <v>2500.0</v>
      </c>
      <c r="F347" s="21">
        <v>3700.0</v>
      </c>
      <c r="G347" s="30">
        <f t="shared" si="1"/>
        <v>3100</v>
      </c>
      <c r="H347" s="30">
        <f t="shared" si="4"/>
        <v>3400</v>
      </c>
      <c r="I347" s="31">
        <f t="shared" si="3"/>
        <v>0.3870967742</v>
      </c>
    </row>
    <row r="348" ht="22.5" customHeight="1">
      <c r="A348" s="35">
        <v>45870.0</v>
      </c>
      <c r="B348" s="21" t="s">
        <v>133</v>
      </c>
      <c r="C348" s="21"/>
      <c r="D348" s="21" t="s">
        <v>219</v>
      </c>
      <c r="E348" s="21">
        <v>3000.0</v>
      </c>
      <c r="F348" s="21">
        <v>4400.0</v>
      </c>
      <c r="G348" s="30">
        <f t="shared" si="1"/>
        <v>3700</v>
      </c>
      <c r="H348" s="30">
        <f t="shared" si="4"/>
        <v>4050</v>
      </c>
      <c r="I348" s="31">
        <f t="shared" si="3"/>
        <v>0.3783783784</v>
      </c>
    </row>
    <row r="349" ht="22.5" customHeight="1">
      <c r="A349" s="35">
        <v>45870.0</v>
      </c>
      <c r="B349" s="21" t="s">
        <v>133</v>
      </c>
      <c r="C349" s="21"/>
      <c r="D349" s="21" t="s">
        <v>220</v>
      </c>
      <c r="E349" s="21">
        <v>1750.0</v>
      </c>
      <c r="F349" s="21">
        <v>2500.0</v>
      </c>
      <c r="G349" s="30">
        <f t="shared" si="1"/>
        <v>2125</v>
      </c>
      <c r="H349" s="30">
        <f t="shared" si="4"/>
        <v>2312.5</v>
      </c>
      <c r="I349" s="31">
        <f t="shared" si="3"/>
        <v>0.3529411765</v>
      </c>
    </row>
    <row r="350" ht="22.5" customHeight="1">
      <c r="A350" s="35">
        <v>45870.0</v>
      </c>
      <c r="B350" s="21" t="s">
        <v>120</v>
      </c>
      <c r="C350" s="21" t="s">
        <v>221</v>
      </c>
      <c r="D350" s="21" t="s">
        <v>222</v>
      </c>
      <c r="E350" s="21">
        <v>4.7</v>
      </c>
      <c r="F350" s="21">
        <v>6.55</v>
      </c>
      <c r="G350" s="30">
        <f t="shared" si="1"/>
        <v>5.625</v>
      </c>
      <c r="H350" s="30">
        <f t="shared" si="4"/>
        <v>6.0875</v>
      </c>
      <c r="I350" s="31">
        <f t="shared" si="3"/>
        <v>0.3288888889</v>
      </c>
    </row>
    <row r="351" ht="22.5" customHeight="1">
      <c r="A351" s="35">
        <v>45870.0</v>
      </c>
      <c r="B351" s="21" t="s">
        <v>120</v>
      </c>
      <c r="C351" s="21" t="s">
        <v>223</v>
      </c>
      <c r="D351" s="21" t="s">
        <v>222</v>
      </c>
      <c r="E351" s="21">
        <v>3.62</v>
      </c>
      <c r="F351" s="21">
        <v>6.0</v>
      </c>
      <c r="G351" s="30">
        <f t="shared" si="1"/>
        <v>4.81</v>
      </c>
      <c r="H351" s="30">
        <f t="shared" si="4"/>
        <v>5.405</v>
      </c>
      <c r="I351" s="31">
        <f t="shared" si="3"/>
        <v>0.4948024948</v>
      </c>
    </row>
    <row r="352" ht="22.5" customHeight="1">
      <c r="A352" s="35">
        <v>45870.0</v>
      </c>
      <c r="B352" s="21" t="s">
        <v>120</v>
      </c>
      <c r="C352" s="21" t="s">
        <v>224</v>
      </c>
      <c r="D352" s="21" t="s">
        <v>222</v>
      </c>
      <c r="E352" s="21">
        <v>3.6</v>
      </c>
      <c r="F352" s="21">
        <v>5.55</v>
      </c>
      <c r="G352" s="30">
        <f t="shared" si="1"/>
        <v>4.575</v>
      </c>
      <c r="H352" s="30">
        <f t="shared" si="4"/>
        <v>5.0625</v>
      </c>
      <c r="I352" s="31">
        <f t="shared" si="3"/>
        <v>0.4262295082</v>
      </c>
    </row>
    <row r="353" ht="22.5" customHeight="1">
      <c r="A353" s="35">
        <v>45870.0</v>
      </c>
      <c r="B353" s="21" t="s">
        <v>120</v>
      </c>
      <c r="C353" s="21" t="s">
        <v>225</v>
      </c>
      <c r="D353" s="21" t="s">
        <v>222</v>
      </c>
      <c r="E353" s="21">
        <v>3.0</v>
      </c>
      <c r="F353" s="21">
        <v>4.9</v>
      </c>
      <c r="G353" s="30">
        <f t="shared" si="1"/>
        <v>3.95</v>
      </c>
      <c r="H353" s="30">
        <f t="shared" si="4"/>
        <v>4.425</v>
      </c>
      <c r="I353" s="31">
        <f t="shared" si="3"/>
        <v>0.4810126582</v>
      </c>
    </row>
    <row r="354" ht="22.5" customHeight="1">
      <c r="A354" s="35">
        <v>45870.0</v>
      </c>
      <c r="B354" s="21" t="s">
        <v>120</v>
      </c>
      <c r="C354" s="21" t="s">
        <v>226</v>
      </c>
      <c r="D354" s="21" t="s">
        <v>222</v>
      </c>
      <c r="E354" s="21">
        <v>3.0</v>
      </c>
      <c r="F354" s="21">
        <v>4.15</v>
      </c>
      <c r="G354" s="30">
        <f t="shared" si="1"/>
        <v>3.575</v>
      </c>
      <c r="H354" s="30">
        <f t="shared" si="4"/>
        <v>3.8625</v>
      </c>
      <c r="I354" s="31">
        <f t="shared" si="3"/>
        <v>0.3216783217</v>
      </c>
    </row>
    <row r="355" ht="22.5" customHeight="1">
      <c r="A355" s="35">
        <v>45870.0</v>
      </c>
      <c r="B355" s="21" t="s">
        <v>120</v>
      </c>
      <c r="C355" s="21" t="s">
        <v>227</v>
      </c>
      <c r="D355" s="21" t="s">
        <v>222</v>
      </c>
      <c r="E355" s="21">
        <v>2.5</v>
      </c>
      <c r="F355" s="21">
        <v>3.85</v>
      </c>
      <c r="G355" s="30">
        <f t="shared" si="1"/>
        <v>3.175</v>
      </c>
      <c r="H355" s="30">
        <f t="shared" si="4"/>
        <v>3.5125</v>
      </c>
      <c r="I355" s="31">
        <f t="shared" si="3"/>
        <v>0.4251968504</v>
      </c>
    </row>
    <row r="356" ht="22.5" customHeight="1">
      <c r="A356" s="35">
        <v>45870.0</v>
      </c>
      <c r="B356" s="21" t="s">
        <v>120</v>
      </c>
      <c r="C356" s="21" t="s">
        <v>228</v>
      </c>
      <c r="D356" s="21" t="s">
        <v>222</v>
      </c>
      <c r="E356" s="21">
        <v>2.1</v>
      </c>
      <c r="F356" s="21">
        <v>3.41</v>
      </c>
      <c r="G356" s="30">
        <f t="shared" si="1"/>
        <v>2.755</v>
      </c>
      <c r="H356" s="30">
        <f t="shared" si="4"/>
        <v>3.0825</v>
      </c>
      <c r="I356" s="31">
        <f t="shared" si="3"/>
        <v>0.4754990926</v>
      </c>
    </row>
    <row r="357" ht="22.5" customHeight="1">
      <c r="A357" s="35">
        <v>45870.0</v>
      </c>
      <c r="B357" s="21" t="s">
        <v>120</v>
      </c>
      <c r="C357" s="21" t="s">
        <v>229</v>
      </c>
      <c r="D357" s="21" t="s">
        <v>222</v>
      </c>
      <c r="E357" s="21">
        <v>2.15</v>
      </c>
      <c r="F357" s="21">
        <v>3.0</v>
      </c>
      <c r="G357" s="30">
        <f t="shared" si="1"/>
        <v>2.575</v>
      </c>
      <c r="H357" s="30">
        <f t="shared" si="4"/>
        <v>2.7875</v>
      </c>
      <c r="I357" s="31">
        <f t="shared" si="3"/>
        <v>0.3300970874</v>
      </c>
    </row>
    <row r="358" ht="22.5" customHeight="1">
      <c r="A358" s="35">
        <v>45870.0</v>
      </c>
      <c r="B358" s="21" t="s">
        <v>129</v>
      </c>
      <c r="C358" s="21" t="s">
        <v>221</v>
      </c>
      <c r="D358" s="21" t="s">
        <v>222</v>
      </c>
      <c r="E358" s="21">
        <v>4.0</v>
      </c>
      <c r="F358" s="21">
        <v>6.55</v>
      </c>
      <c r="G358" s="30">
        <f t="shared" si="1"/>
        <v>5.275</v>
      </c>
      <c r="H358" s="30">
        <f t="shared" si="4"/>
        <v>5.9125</v>
      </c>
      <c r="I358" s="31">
        <f t="shared" si="3"/>
        <v>0.4834123223</v>
      </c>
    </row>
    <row r="359" ht="22.5" customHeight="1">
      <c r="A359" s="35">
        <v>45870.0</v>
      </c>
      <c r="B359" s="21" t="s">
        <v>129</v>
      </c>
      <c r="C359" s="21" t="s">
        <v>223</v>
      </c>
      <c r="D359" s="21" t="s">
        <v>222</v>
      </c>
      <c r="E359" s="21">
        <v>3.52</v>
      </c>
      <c r="F359" s="21">
        <v>5.1</v>
      </c>
      <c r="G359" s="30">
        <f t="shared" si="1"/>
        <v>4.31</v>
      </c>
      <c r="H359" s="30">
        <f t="shared" si="4"/>
        <v>4.705</v>
      </c>
      <c r="I359" s="31">
        <f t="shared" si="3"/>
        <v>0.3665893271</v>
      </c>
    </row>
    <row r="360" ht="22.5" customHeight="1">
      <c r="A360" s="35">
        <v>45870.0</v>
      </c>
      <c r="B360" s="21" t="s">
        <v>129</v>
      </c>
      <c r="C360" s="21" t="s">
        <v>224</v>
      </c>
      <c r="D360" s="21" t="s">
        <v>222</v>
      </c>
      <c r="E360" s="21">
        <v>3.0</v>
      </c>
      <c r="F360" s="21">
        <v>4.8</v>
      </c>
      <c r="G360" s="30">
        <f t="shared" si="1"/>
        <v>3.9</v>
      </c>
      <c r="H360" s="30">
        <f t="shared" si="4"/>
        <v>4.35</v>
      </c>
      <c r="I360" s="31">
        <f t="shared" si="3"/>
        <v>0.4615384615</v>
      </c>
    </row>
    <row r="361" ht="22.5" customHeight="1">
      <c r="A361" s="35">
        <v>45870.0</v>
      </c>
      <c r="B361" s="21" t="s">
        <v>129</v>
      </c>
      <c r="C361" s="21" t="s">
        <v>225</v>
      </c>
      <c r="D361" s="21" t="s">
        <v>222</v>
      </c>
      <c r="E361" s="21">
        <v>3.1</v>
      </c>
      <c r="F361" s="21">
        <v>4.25</v>
      </c>
      <c r="G361" s="30">
        <f t="shared" si="1"/>
        <v>3.675</v>
      </c>
      <c r="H361" s="30">
        <f t="shared" si="4"/>
        <v>3.9625</v>
      </c>
      <c r="I361" s="31">
        <f t="shared" si="3"/>
        <v>0.3129251701</v>
      </c>
    </row>
    <row r="362" ht="22.5" customHeight="1">
      <c r="A362" s="35">
        <v>45870.0</v>
      </c>
      <c r="B362" s="21" t="s">
        <v>129</v>
      </c>
      <c r="C362" s="21" t="s">
        <v>226</v>
      </c>
      <c r="D362" s="21" t="s">
        <v>222</v>
      </c>
      <c r="E362" s="21">
        <v>2.65</v>
      </c>
      <c r="F362" s="21">
        <v>5.0</v>
      </c>
      <c r="G362" s="30">
        <f t="shared" si="1"/>
        <v>3.825</v>
      </c>
      <c r="H362" s="30">
        <f t="shared" si="4"/>
        <v>4.4125</v>
      </c>
      <c r="I362" s="31">
        <f t="shared" si="3"/>
        <v>0.614379085</v>
      </c>
    </row>
    <row r="363" ht="22.5" customHeight="1">
      <c r="A363" s="35">
        <v>45870.0</v>
      </c>
      <c r="B363" s="21" t="s">
        <v>129</v>
      </c>
      <c r="C363" s="21" t="s">
        <v>227</v>
      </c>
      <c r="D363" s="21" t="s">
        <v>222</v>
      </c>
      <c r="E363" s="21">
        <v>2.2</v>
      </c>
      <c r="F363" s="21">
        <v>4.0</v>
      </c>
      <c r="G363" s="30">
        <f t="shared" si="1"/>
        <v>3.1</v>
      </c>
      <c r="H363" s="30">
        <f t="shared" si="4"/>
        <v>3.55</v>
      </c>
      <c r="I363" s="31">
        <f t="shared" si="3"/>
        <v>0.5806451613</v>
      </c>
    </row>
    <row r="364" ht="22.5" customHeight="1">
      <c r="A364" s="35">
        <v>45870.0</v>
      </c>
      <c r="B364" s="21" t="s">
        <v>129</v>
      </c>
      <c r="C364" s="21" t="s">
        <v>228</v>
      </c>
      <c r="D364" s="21" t="s">
        <v>222</v>
      </c>
      <c r="E364" s="21">
        <v>2.2</v>
      </c>
      <c r="F364" s="21">
        <v>2.99</v>
      </c>
      <c r="G364" s="30">
        <f t="shared" si="1"/>
        <v>2.595</v>
      </c>
      <c r="H364" s="30">
        <f t="shared" si="4"/>
        <v>2.7925</v>
      </c>
      <c r="I364" s="31">
        <f t="shared" si="3"/>
        <v>0.3044315992</v>
      </c>
    </row>
    <row r="365" ht="22.5" customHeight="1">
      <c r="A365" s="35">
        <v>45870.0</v>
      </c>
      <c r="B365" s="21" t="s">
        <v>129</v>
      </c>
      <c r="C365" s="21" t="s">
        <v>229</v>
      </c>
      <c r="D365" s="21" t="s">
        <v>222</v>
      </c>
      <c r="E365" s="21">
        <v>1.76</v>
      </c>
      <c r="F365" s="21">
        <v>2.8</v>
      </c>
      <c r="G365" s="30">
        <f t="shared" si="1"/>
        <v>2.28</v>
      </c>
      <c r="H365" s="30">
        <f t="shared" si="4"/>
        <v>2.54</v>
      </c>
      <c r="I365" s="31">
        <f t="shared" si="3"/>
        <v>0.4561403509</v>
      </c>
    </row>
    <row r="366" ht="22.5" customHeight="1">
      <c r="A366" s="35">
        <v>45877.0</v>
      </c>
      <c r="B366" s="21" t="s">
        <v>136</v>
      </c>
      <c r="C366" s="21"/>
      <c r="D366" s="21" t="s">
        <v>210</v>
      </c>
      <c r="E366" s="21">
        <v>0.6</v>
      </c>
      <c r="F366" s="21">
        <v>1.35</v>
      </c>
      <c r="G366" s="30">
        <f t="shared" si="1"/>
        <v>0.975</v>
      </c>
      <c r="H366" s="30">
        <f t="shared" si="4"/>
        <v>1.1625</v>
      </c>
      <c r="I366" s="31">
        <f t="shared" si="3"/>
        <v>0.7692307692</v>
      </c>
    </row>
    <row r="367" ht="22.5" customHeight="1">
      <c r="A367" s="35">
        <v>45877.0</v>
      </c>
      <c r="B367" s="21" t="s">
        <v>136</v>
      </c>
      <c r="C367" s="21"/>
      <c r="D367" s="21" t="s">
        <v>211</v>
      </c>
      <c r="E367" s="21">
        <v>1.36</v>
      </c>
      <c r="F367" s="21">
        <v>1.5</v>
      </c>
      <c r="G367" s="30">
        <f t="shared" si="1"/>
        <v>1.43</v>
      </c>
      <c r="H367" s="30">
        <f t="shared" si="4"/>
        <v>1.465</v>
      </c>
      <c r="I367" s="31">
        <f t="shared" si="3"/>
        <v>0.0979020979</v>
      </c>
    </row>
    <row r="368" ht="22.5" customHeight="1">
      <c r="A368" s="35">
        <v>45877.0</v>
      </c>
      <c r="B368" s="21" t="s">
        <v>136</v>
      </c>
      <c r="C368" s="21"/>
      <c r="D368" s="21" t="s">
        <v>212</v>
      </c>
      <c r="E368" s="21">
        <v>1.51</v>
      </c>
      <c r="F368" s="21">
        <v>1.74</v>
      </c>
      <c r="G368" s="30">
        <f t="shared" si="1"/>
        <v>1.625</v>
      </c>
      <c r="H368" s="30">
        <f t="shared" si="4"/>
        <v>1.6825</v>
      </c>
      <c r="I368" s="31">
        <f t="shared" si="3"/>
        <v>0.1415384615</v>
      </c>
    </row>
    <row r="369" ht="22.5" customHeight="1">
      <c r="A369" s="35">
        <v>45877.0</v>
      </c>
      <c r="B369" s="21" t="s">
        <v>139</v>
      </c>
      <c r="C369" s="21"/>
      <c r="D369" s="21" t="s">
        <v>214</v>
      </c>
      <c r="E369" s="21">
        <v>1.74</v>
      </c>
      <c r="F369" s="21">
        <v>1.91</v>
      </c>
      <c r="G369" s="30">
        <f t="shared" si="1"/>
        <v>1.825</v>
      </c>
      <c r="H369" s="30">
        <f t="shared" si="4"/>
        <v>1.8675</v>
      </c>
      <c r="I369" s="31">
        <f t="shared" si="3"/>
        <v>0.09315068493</v>
      </c>
    </row>
    <row r="370" ht="22.5" customHeight="1">
      <c r="A370" s="35">
        <v>45877.0</v>
      </c>
      <c r="B370" s="21" t="s">
        <v>139</v>
      </c>
      <c r="C370" s="21"/>
      <c r="D370" s="21" t="s">
        <v>215</v>
      </c>
      <c r="E370" s="21">
        <v>2.02</v>
      </c>
      <c r="F370" s="21">
        <v>2.02</v>
      </c>
      <c r="G370" s="30">
        <f t="shared" si="1"/>
        <v>2.02</v>
      </c>
      <c r="H370" s="30">
        <f t="shared" si="4"/>
        <v>2.02</v>
      </c>
      <c r="I370" s="31">
        <f t="shared" si="3"/>
        <v>0</v>
      </c>
    </row>
    <row r="371" ht="22.5" customHeight="1">
      <c r="A371" s="35">
        <v>45877.0</v>
      </c>
      <c r="B371" s="21" t="s">
        <v>139</v>
      </c>
      <c r="C371" s="21"/>
      <c r="D371" s="21" t="s">
        <v>216</v>
      </c>
      <c r="E371" s="21">
        <v>1.35</v>
      </c>
      <c r="F371" s="21">
        <v>1.6</v>
      </c>
      <c r="G371" s="30">
        <f t="shared" si="1"/>
        <v>1.475</v>
      </c>
      <c r="H371" s="30">
        <f t="shared" si="4"/>
        <v>1.5375</v>
      </c>
      <c r="I371" s="31">
        <f t="shared" si="3"/>
        <v>0.1694915254</v>
      </c>
    </row>
    <row r="372" ht="22.5" customHeight="1">
      <c r="A372" s="35">
        <v>45877.0</v>
      </c>
      <c r="B372" s="21" t="s">
        <v>133</v>
      </c>
      <c r="C372" s="21"/>
      <c r="D372" s="21" t="s">
        <v>217</v>
      </c>
      <c r="E372" s="21">
        <v>3800.0</v>
      </c>
      <c r="F372" s="21">
        <v>4400.0</v>
      </c>
      <c r="G372" s="30">
        <f t="shared" si="1"/>
        <v>4100</v>
      </c>
      <c r="H372" s="30">
        <f t="shared" si="4"/>
        <v>4250</v>
      </c>
      <c r="I372" s="31">
        <f t="shared" si="3"/>
        <v>0.1463414634</v>
      </c>
    </row>
    <row r="373" ht="22.5" customHeight="1">
      <c r="A373" s="35">
        <v>45877.0</v>
      </c>
      <c r="B373" s="21" t="s">
        <v>133</v>
      </c>
      <c r="C373" s="21"/>
      <c r="D373" s="21" t="s">
        <v>218</v>
      </c>
      <c r="E373" s="21">
        <v>2500.0</v>
      </c>
      <c r="F373" s="21">
        <v>3500.0</v>
      </c>
      <c r="G373" s="30">
        <f t="shared" si="1"/>
        <v>3000</v>
      </c>
      <c r="H373" s="30">
        <f t="shared" si="4"/>
        <v>3250</v>
      </c>
      <c r="I373" s="31">
        <f t="shared" si="3"/>
        <v>0.3333333333</v>
      </c>
    </row>
    <row r="374" ht="22.5" customHeight="1">
      <c r="A374" s="35">
        <v>45877.0</v>
      </c>
      <c r="B374" s="21" t="s">
        <v>133</v>
      </c>
      <c r="C374" s="21"/>
      <c r="D374" s="21" t="s">
        <v>219</v>
      </c>
      <c r="E374" s="21">
        <v>3000.0</v>
      </c>
      <c r="F374" s="21">
        <v>4000.0</v>
      </c>
      <c r="G374" s="30">
        <f t="shared" si="1"/>
        <v>3500</v>
      </c>
      <c r="H374" s="30">
        <f t="shared" si="4"/>
        <v>3750</v>
      </c>
      <c r="I374" s="31">
        <f t="shared" si="3"/>
        <v>0.2857142857</v>
      </c>
    </row>
    <row r="375" ht="22.5" customHeight="1">
      <c r="A375" s="35">
        <v>45877.0</v>
      </c>
      <c r="B375" s="21" t="s">
        <v>133</v>
      </c>
      <c r="C375" s="21"/>
      <c r="D375" s="21" t="s">
        <v>220</v>
      </c>
      <c r="E375" s="21">
        <v>1750.0</v>
      </c>
      <c r="F375" s="21">
        <v>2500.0</v>
      </c>
      <c r="G375" s="30">
        <f t="shared" si="1"/>
        <v>2125</v>
      </c>
      <c r="H375" s="30">
        <f t="shared" si="4"/>
        <v>2312.5</v>
      </c>
      <c r="I375" s="31">
        <f t="shared" si="3"/>
        <v>0.3529411765</v>
      </c>
    </row>
    <row r="376" ht="22.5" customHeight="1">
      <c r="A376" s="35">
        <v>45877.0</v>
      </c>
      <c r="B376" s="21" t="s">
        <v>120</v>
      </c>
      <c r="C376" s="21" t="s">
        <v>221</v>
      </c>
      <c r="D376" s="21" t="s">
        <v>222</v>
      </c>
      <c r="E376" s="21">
        <v>4.7</v>
      </c>
      <c r="F376" s="21">
        <v>6.55</v>
      </c>
      <c r="G376" s="30">
        <f t="shared" si="1"/>
        <v>5.625</v>
      </c>
      <c r="H376" s="30">
        <f t="shared" si="4"/>
        <v>6.0875</v>
      </c>
      <c r="I376" s="31">
        <f t="shared" si="3"/>
        <v>0.3288888889</v>
      </c>
    </row>
    <row r="377" ht="22.5" customHeight="1">
      <c r="A377" s="35">
        <v>45877.0</v>
      </c>
      <c r="B377" s="21" t="s">
        <v>120</v>
      </c>
      <c r="C377" s="21" t="s">
        <v>223</v>
      </c>
      <c r="D377" s="21" t="s">
        <v>222</v>
      </c>
      <c r="E377" s="21">
        <v>3.62</v>
      </c>
      <c r="F377" s="21">
        <v>5.8</v>
      </c>
      <c r="G377" s="30">
        <f t="shared" si="1"/>
        <v>4.71</v>
      </c>
      <c r="H377" s="30">
        <f t="shared" si="4"/>
        <v>5.255</v>
      </c>
      <c r="I377" s="31">
        <f t="shared" si="3"/>
        <v>0.4628450106</v>
      </c>
    </row>
    <row r="378" ht="22.5" customHeight="1">
      <c r="A378" s="35">
        <v>45877.0</v>
      </c>
      <c r="B378" s="21" t="s">
        <v>120</v>
      </c>
      <c r="C378" s="21" t="s">
        <v>224</v>
      </c>
      <c r="D378" s="21" t="s">
        <v>222</v>
      </c>
      <c r="E378" s="21">
        <v>3.6</v>
      </c>
      <c r="F378" s="21">
        <v>5.7</v>
      </c>
      <c r="G378" s="30">
        <f t="shared" si="1"/>
        <v>4.65</v>
      </c>
      <c r="H378" s="30">
        <f t="shared" si="4"/>
        <v>5.175</v>
      </c>
      <c r="I378" s="31">
        <f t="shared" si="3"/>
        <v>0.4516129032</v>
      </c>
    </row>
    <row r="379" ht="22.5" customHeight="1">
      <c r="A379" s="35">
        <v>45877.0</v>
      </c>
      <c r="B379" s="21" t="s">
        <v>120</v>
      </c>
      <c r="C379" s="21" t="s">
        <v>225</v>
      </c>
      <c r="D379" s="21" t="s">
        <v>222</v>
      </c>
      <c r="E379" s="21">
        <v>3.0</v>
      </c>
      <c r="F379" s="21">
        <v>4.75</v>
      </c>
      <c r="G379" s="30">
        <f t="shared" si="1"/>
        <v>3.875</v>
      </c>
      <c r="H379" s="30">
        <f t="shared" si="4"/>
        <v>4.3125</v>
      </c>
      <c r="I379" s="31">
        <f t="shared" si="3"/>
        <v>0.4516129032</v>
      </c>
    </row>
    <row r="380" ht="22.5" customHeight="1">
      <c r="A380" s="35">
        <v>45877.0</v>
      </c>
      <c r="B380" s="21" t="s">
        <v>120</v>
      </c>
      <c r="C380" s="21" t="s">
        <v>226</v>
      </c>
      <c r="D380" s="21" t="s">
        <v>222</v>
      </c>
      <c r="E380" s="21">
        <v>3.0</v>
      </c>
      <c r="F380" s="21">
        <v>4.02</v>
      </c>
      <c r="G380" s="30">
        <f t="shared" si="1"/>
        <v>3.51</v>
      </c>
      <c r="H380" s="30">
        <f t="shared" si="4"/>
        <v>3.765</v>
      </c>
      <c r="I380" s="31">
        <f t="shared" si="3"/>
        <v>0.2905982906</v>
      </c>
    </row>
    <row r="381" ht="22.5" customHeight="1">
      <c r="A381" s="35">
        <v>45877.0</v>
      </c>
      <c r="B381" s="21" t="s">
        <v>120</v>
      </c>
      <c r="C381" s="21" t="s">
        <v>227</v>
      </c>
      <c r="D381" s="21" t="s">
        <v>222</v>
      </c>
      <c r="E381" s="21">
        <v>2.5</v>
      </c>
      <c r="F381" s="21">
        <v>3.56</v>
      </c>
      <c r="G381" s="30">
        <f t="shared" si="1"/>
        <v>3.03</v>
      </c>
      <c r="H381" s="30">
        <f t="shared" si="4"/>
        <v>3.295</v>
      </c>
      <c r="I381" s="31">
        <f t="shared" si="3"/>
        <v>0.3498349835</v>
      </c>
    </row>
    <row r="382" ht="22.5" customHeight="1">
      <c r="A382" s="35">
        <v>45877.0</v>
      </c>
      <c r="B382" s="21" t="s">
        <v>120</v>
      </c>
      <c r="C382" s="21" t="s">
        <v>228</v>
      </c>
      <c r="D382" s="21" t="s">
        <v>222</v>
      </c>
      <c r="E382" s="21">
        <v>2.1</v>
      </c>
      <c r="F382" s="21">
        <v>3.3</v>
      </c>
      <c r="G382" s="30">
        <f t="shared" si="1"/>
        <v>2.7</v>
      </c>
      <c r="H382" s="30">
        <f t="shared" si="4"/>
        <v>3</v>
      </c>
      <c r="I382" s="31">
        <f t="shared" si="3"/>
        <v>0.4444444444</v>
      </c>
    </row>
    <row r="383" ht="22.5" customHeight="1">
      <c r="A383" s="35">
        <v>45877.0</v>
      </c>
      <c r="B383" s="21" t="s">
        <v>120</v>
      </c>
      <c r="C383" s="21" t="s">
        <v>229</v>
      </c>
      <c r="D383" s="21" t="s">
        <v>222</v>
      </c>
      <c r="E383" s="21">
        <v>2.15</v>
      </c>
      <c r="F383" s="21">
        <v>3.0</v>
      </c>
      <c r="G383" s="30">
        <f t="shared" si="1"/>
        <v>2.575</v>
      </c>
      <c r="H383" s="30">
        <f t="shared" si="4"/>
        <v>2.7875</v>
      </c>
      <c r="I383" s="31">
        <f t="shared" si="3"/>
        <v>0.3300970874</v>
      </c>
    </row>
    <row r="384" ht="22.5" customHeight="1">
      <c r="A384" s="35">
        <v>45877.0</v>
      </c>
      <c r="B384" s="21" t="s">
        <v>129</v>
      </c>
      <c r="C384" s="21" t="s">
        <v>221</v>
      </c>
      <c r="D384" s="21" t="s">
        <v>222</v>
      </c>
      <c r="E384" s="21">
        <v>4.0</v>
      </c>
      <c r="F384" s="21">
        <v>6.45</v>
      </c>
      <c r="G384" s="30">
        <f t="shared" si="1"/>
        <v>5.225</v>
      </c>
      <c r="H384" s="30">
        <f t="shared" si="4"/>
        <v>5.8375</v>
      </c>
      <c r="I384" s="31">
        <f t="shared" si="3"/>
        <v>0.4688995215</v>
      </c>
    </row>
    <row r="385" ht="22.5" customHeight="1">
      <c r="A385" s="35">
        <v>45877.0</v>
      </c>
      <c r="B385" s="21" t="s">
        <v>129</v>
      </c>
      <c r="C385" s="21" t="s">
        <v>223</v>
      </c>
      <c r="D385" s="21" t="s">
        <v>222</v>
      </c>
      <c r="E385" s="21">
        <v>3.52</v>
      </c>
      <c r="F385" s="21">
        <v>6.2</v>
      </c>
      <c r="G385" s="30">
        <f t="shared" si="1"/>
        <v>4.86</v>
      </c>
      <c r="H385" s="30">
        <f t="shared" si="4"/>
        <v>5.53</v>
      </c>
      <c r="I385" s="31">
        <f t="shared" si="3"/>
        <v>0.5514403292</v>
      </c>
    </row>
    <row r="386" ht="22.5" customHeight="1">
      <c r="A386" s="35">
        <v>45877.0</v>
      </c>
      <c r="B386" s="21" t="s">
        <v>129</v>
      </c>
      <c r="C386" s="21" t="s">
        <v>224</v>
      </c>
      <c r="D386" s="21" t="s">
        <v>222</v>
      </c>
      <c r="E386" s="21">
        <v>3.0</v>
      </c>
      <c r="F386" s="21">
        <v>5.0</v>
      </c>
      <c r="G386" s="30">
        <f t="shared" si="1"/>
        <v>4</v>
      </c>
      <c r="H386" s="30">
        <f t="shared" si="4"/>
        <v>4.5</v>
      </c>
      <c r="I386" s="31">
        <f t="shared" si="3"/>
        <v>0.5</v>
      </c>
    </row>
    <row r="387" ht="22.5" customHeight="1">
      <c r="A387" s="35">
        <v>45877.0</v>
      </c>
      <c r="B387" s="21" t="s">
        <v>129</v>
      </c>
      <c r="C387" s="21" t="s">
        <v>225</v>
      </c>
      <c r="D387" s="21" t="s">
        <v>222</v>
      </c>
      <c r="E387" s="21">
        <v>3.1</v>
      </c>
      <c r="F387" s="21">
        <v>5.0</v>
      </c>
      <c r="G387" s="30">
        <f t="shared" si="1"/>
        <v>4.05</v>
      </c>
      <c r="H387" s="30">
        <f t="shared" si="4"/>
        <v>4.525</v>
      </c>
      <c r="I387" s="31">
        <f t="shared" si="3"/>
        <v>0.4691358025</v>
      </c>
    </row>
    <row r="388" ht="22.5" customHeight="1">
      <c r="A388" s="35">
        <v>45877.0</v>
      </c>
      <c r="B388" s="21" t="s">
        <v>129</v>
      </c>
      <c r="C388" s="21" t="s">
        <v>226</v>
      </c>
      <c r="D388" s="21" t="s">
        <v>222</v>
      </c>
      <c r="E388" s="21">
        <v>2.65</v>
      </c>
      <c r="F388" s="21">
        <v>4.25</v>
      </c>
      <c r="G388" s="30">
        <f t="shared" si="1"/>
        <v>3.45</v>
      </c>
      <c r="H388" s="30">
        <f t="shared" si="4"/>
        <v>3.85</v>
      </c>
      <c r="I388" s="31">
        <f t="shared" si="3"/>
        <v>0.4637681159</v>
      </c>
    </row>
    <row r="389" ht="22.5" customHeight="1">
      <c r="A389" s="35">
        <v>45877.0</v>
      </c>
      <c r="B389" s="21" t="s">
        <v>129</v>
      </c>
      <c r="C389" s="21" t="s">
        <v>227</v>
      </c>
      <c r="D389" s="21" t="s">
        <v>222</v>
      </c>
      <c r="E389" s="21">
        <v>2.2</v>
      </c>
      <c r="F389" s="21">
        <v>4.15</v>
      </c>
      <c r="G389" s="30">
        <f t="shared" si="1"/>
        <v>3.175</v>
      </c>
      <c r="H389" s="30">
        <f t="shared" si="4"/>
        <v>3.6625</v>
      </c>
      <c r="I389" s="31">
        <f t="shared" si="3"/>
        <v>0.6141732283</v>
      </c>
    </row>
    <row r="390" ht="22.5" customHeight="1">
      <c r="A390" s="35">
        <v>45877.0</v>
      </c>
      <c r="B390" s="21" t="s">
        <v>129</v>
      </c>
      <c r="C390" s="21" t="s">
        <v>228</v>
      </c>
      <c r="D390" s="21" t="s">
        <v>222</v>
      </c>
      <c r="E390" s="21">
        <v>2.2</v>
      </c>
      <c r="F390" s="21">
        <v>4.05</v>
      </c>
      <c r="G390" s="30">
        <f t="shared" si="1"/>
        <v>3.125</v>
      </c>
      <c r="H390" s="30">
        <f t="shared" si="4"/>
        <v>3.5875</v>
      </c>
      <c r="I390" s="31">
        <f t="shared" si="3"/>
        <v>0.592</v>
      </c>
    </row>
    <row r="391" ht="22.5" customHeight="1">
      <c r="A391" s="35">
        <v>45877.0</v>
      </c>
      <c r="B391" s="21" t="s">
        <v>129</v>
      </c>
      <c r="C391" s="21" t="s">
        <v>229</v>
      </c>
      <c r="D391" s="21" t="s">
        <v>222</v>
      </c>
      <c r="E391" s="21">
        <v>1.76</v>
      </c>
      <c r="F391" s="21">
        <v>3.2</v>
      </c>
      <c r="G391" s="30">
        <f t="shared" si="1"/>
        <v>2.48</v>
      </c>
      <c r="H391" s="30">
        <f t="shared" si="4"/>
        <v>2.84</v>
      </c>
      <c r="I391" s="31">
        <f t="shared" si="3"/>
        <v>0.5806451613</v>
      </c>
    </row>
    <row r="392" ht="22.5" customHeight="1">
      <c r="A392" s="35">
        <v>45891.0</v>
      </c>
      <c r="B392" s="21" t="s">
        <v>136</v>
      </c>
      <c r="C392" s="21"/>
      <c r="D392" s="21" t="s">
        <v>210</v>
      </c>
      <c r="E392" s="21">
        <v>0.6</v>
      </c>
      <c r="F392" s="21">
        <v>1.35</v>
      </c>
      <c r="G392" s="30">
        <f t="shared" si="1"/>
        <v>0.975</v>
      </c>
      <c r="H392" s="30">
        <f t="shared" si="4"/>
        <v>1.1625</v>
      </c>
      <c r="I392" s="31">
        <f t="shared" si="3"/>
        <v>0.7692307692</v>
      </c>
    </row>
    <row r="393" ht="22.5" customHeight="1">
      <c r="A393" s="35">
        <v>45891.0</v>
      </c>
      <c r="B393" s="21" t="s">
        <v>136</v>
      </c>
      <c r="C393" s="21"/>
      <c r="D393" s="21" t="s">
        <v>211</v>
      </c>
      <c r="E393" s="21">
        <v>1.36</v>
      </c>
      <c r="F393" s="21">
        <v>1.5</v>
      </c>
      <c r="G393" s="30">
        <f t="shared" si="1"/>
        <v>1.43</v>
      </c>
      <c r="H393" s="30">
        <f t="shared" si="4"/>
        <v>1.465</v>
      </c>
      <c r="I393" s="31">
        <f t="shared" si="3"/>
        <v>0.0979020979</v>
      </c>
    </row>
    <row r="394" ht="22.5" customHeight="1">
      <c r="A394" s="35">
        <v>45891.0</v>
      </c>
      <c r="B394" s="21" t="s">
        <v>136</v>
      </c>
      <c r="C394" s="21"/>
      <c r="D394" s="21" t="s">
        <v>212</v>
      </c>
      <c r="E394" s="21">
        <v>1.54</v>
      </c>
      <c r="F394" s="21">
        <v>1.81</v>
      </c>
      <c r="G394" s="30">
        <f t="shared" si="1"/>
        <v>1.675</v>
      </c>
      <c r="H394" s="30">
        <f t="shared" si="4"/>
        <v>1.7425</v>
      </c>
      <c r="I394" s="31">
        <f t="shared" si="3"/>
        <v>0.1611940299</v>
      </c>
    </row>
    <row r="395" ht="22.5" customHeight="1">
      <c r="A395" s="35">
        <v>45891.0</v>
      </c>
      <c r="B395" s="21" t="s">
        <v>139</v>
      </c>
      <c r="C395" s="21"/>
      <c r="D395" s="21" t="s">
        <v>214</v>
      </c>
      <c r="E395" s="21">
        <v>1.74</v>
      </c>
      <c r="F395" s="21">
        <v>1.97</v>
      </c>
      <c r="G395" s="30">
        <f t="shared" si="1"/>
        <v>1.855</v>
      </c>
      <c r="H395" s="30">
        <f t="shared" si="4"/>
        <v>1.9125</v>
      </c>
      <c r="I395" s="31">
        <f t="shared" si="3"/>
        <v>0.1239892183</v>
      </c>
    </row>
    <row r="396" ht="22.5" customHeight="1">
      <c r="A396" s="35">
        <v>45891.0</v>
      </c>
      <c r="B396" s="21" t="s">
        <v>139</v>
      </c>
      <c r="C396" s="21"/>
      <c r="D396" s="21" t="s">
        <v>215</v>
      </c>
      <c r="E396" s="21">
        <v>2.06</v>
      </c>
      <c r="F396" s="21">
        <v>2.06</v>
      </c>
      <c r="G396" s="30">
        <f t="shared" si="1"/>
        <v>2.06</v>
      </c>
      <c r="H396" s="30">
        <f t="shared" si="4"/>
        <v>2.06</v>
      </c>
      <c r="I396" s="31">
        <f t="shared" si="3"/>
        <v>0</v>
      </c>
    </row>
    <row r="397" ht="22.5" customHeight="1">
      <c r="A397" s="35">
        <v>45891.0</v>
      </c>
      <c r="B397" s="21" t="s">
        <v>139</v>
      </c>
      <c r="C397" s="21"/>
      <c r="D397" s="21" t="s">
        <v>216</v>
      </c>
      <c r="E397" s="21">
        <v>1.35</v>
      </c>
      <c r="F397" s="21">
        <v>1.6</v>
      </c>
      <c r="G397" s="30">
        <f t="shared" si="1"/>
        <v>1.475</v>
      </c>
      <c r="H397" s="30">
        <f t="shared" si="4"/>
        <v>1.5375</v>
      </c>
      <c r="I397" s="31">
        <f t="shared" si="3"/>
        <v>0.1694915254</v>
      </c>
    </row>
    <row r="398" ht="22.5" customHeight="1">
      <c r="A398" s="35">
        <v>45891.0</v>
      </c>
      <c r="B398" s="21" t="s">
        <v>133</v>
      </c>
      <c r="C398" s="21"/>
      <c r="D398" s="21" t="s">
        <v>217</v>
      </c>
      <c r="E398" s="21">
        <v>3800.0</v>
      </c>
      <c r="F398" s="21">
        <v>4400.0</v>
      </c>
      <c r="G398" s="30">
        <f t="shared" si="1"/>
        <v>4100</v>
      </c>
      <c r="H398" s="30">
        <f t="shared" si="4"/>
        <v>4250</v>
      </c>
      <c r="I398" s="31">
        <f t="shared" si="3"/>
        <v>0.1463414634</v>
      </c>
    </row>
    <row r="399" ht="22.5" customHeight="1">
      <c r="A399" s="35">
        <v>45891.0</v>
      </c>
      <c r="B399" s="21" t="s">
        <v>133</v>
      </c>
      <c r="C399" s="21"/>
      <c r="D399" s="21" t="s">
        <v>218</v>
      </c>
      <c r="E399" s="21">
        <v>2500.0</v>
      </c>
      <c r="F399" s="21">
        <v>3500.0</v>
      </c>
      <c r="G399" s="30">
        <f t="shared" si="1"/>
        <v>3000</v>
      </c>
      <c r="H399" s="30">
        <f t="shared" si="4"/>
        <v>3250</v>
      </c>
      <c r="I399" s="31">
        <f t="shared" si="3"/>
        <v>0.3333333333</v>
      </c>
    </row>
    <row r="400" ht="22.5" customHeight="1">
      <c r="A400" s="35">
        <v>45891.0</v>
      </c>
      <c r="B400" s="21" t="s">
        <v>133</v>
      </c>
      <c r="C400" s="21"/>
      <c r="D400" s="21" t="s">
        <v>219</v>
      </c>
      <c r="E400" s="21">
        <v>3000.0</v>
      </c>
      <c r="F400" s="21">
        <v>4000.0</v>
      </c>
      <c r="G400" s="30">
        <f t="shared" si="1"/>
        <v>3500</v>
      </c>
      <c r="H400" s="30">
        <f t="shared" si="4"/>
        <v>3750</v>
      </c>
      <c r="I400" s="31">
        <f t="shared" si="3"/>
        <v>0.2857142857</v>
      </c>
    </row>
    <row r="401" ht="22.5" customHeight="1">
      <c r="A401" s="35">
        <v>45891.0</v>
      </c>
      <c r="B401" s="21" t="s">
        <v>133</v>
      </c>
      <c r="C401" s="21"/>
      <c r="D401" s="21" t="s">
        <v>220</v>
      </c>
      <c r="E401" s="21">
        <v>1750.0</v>
      </c>
      <c r="F401" s="21">
        <v>2500.0</v>
      </c>
      <c r="G401" s="30">
        <f t="shared" si="1"/>
        <v>2125</v>
      </c>
      <c r="H401" s="30">
        <f t="shared" si="4"/>
        <v>2312.5</v>
      </c>
      <c r="I401" s="31">
        <f t="shared" si="3"/>
        <v>0.3529411765</v>
      </c>
    </row>
    <row r="402" ht="22.5" customHeight="1">
      <c r="A402" s="35">
        <v>45891.0</v>
      </c>
      <c r="B402" s="21" t="s">
        <v>120</v>
      </c>
      <c r="C402" s="21" t="s">
        <v>221</v>
      </c>
      <c r="D402" s="21" t="s">
        <v>222</v>
      </c>
      <c r="E402" s="21">
        <v>4.7</v>
      </c>
      <c r="F402" s="21">
        <v>6.45</v>
      </c>
      <c r="G402" s="30">
        <f t="shared" si="1"/>
        <v>5.575</v>
      </c>
      <c r="H402" s="30">
        <f t="shared" si="4"/>
        <v>6.0125</v>
      </c>
      <c r="I402" s="31">
        <f t="shared" si="3"/>
        <v>0.3139013453</v>
      </c>
    </row>
    <row r="403" ht="22.5" customHeight="1">
      <c r="A403" s="35">
        <v>45891.0</v>
      </c>
      <c r="B403" s="21" t="s">
        <v>120</v>
      </c>
      <c r="C403" s="21" t="s">
        <v>223</v>
      </c>
      <c r="D403" s="21" t="s">
        <v>222</v>
      </c>
      <c r="E403" s="21">
        <v>3.62</v>
      </c>
      <c r="F403" s="21">
        <v>5.9</v>
      </c>
      <c r="G403" s="30">
        <f t="shared" si="1"/>
        <v>4.76</v>
      </c>
      <c r="H403" s="30">
        <f t="shared" si="4"/>
        <v>5.33</v>
      </c>
      <c r="I403" s="31">
        <f t="shared" si="3"/>
        <v>0.4789915966</v>
      </c>
    </row>
    <row r="404" ht="22.5" customHeight="1">
      <c r="A404" s="35">
        <v>45891.0</v>
      </c>
      <c r="B404" s="21" t="s">
        <v>120</v>
      </c>
      <c r="C404" s="21" t="s">
        <v>224</v>
      </c>
      <c r="D404" s="21" t="s">
        <v>222</v>
      </c>
      <c r="E404" s="21">
        <v>3.6</v>
      </c>
      <c r="F404" s="21">
        <v>5.8</v>
      </c>
      <c r="G404" s="30">
        <f t="shared" si="1"/>
        <v>4.7</v>
      </c>
      <c r="H404" s="30">
        <f t="shared" si="4"/>
        <v>5.25</v>
      </c>
      <c r="I404" s="31">
        <f t="shared" si="3"/>
        <v>0.4680851064</v>
      </c>
    </row>
    <row r="405" ht="22.5" customHeight="1">
      <c r="A405" s="35">
        <v>45891.0</v>
      </c>
      <c r="B405" s="21" t="s">
        <v>120</v>
      </c>
      <c r="C405" s="21" t="s">
        <v>225</v>
      </c>
      <c r="D405" s="21" t="s">
        <v>222</v>
      </c>
      <c r="E405" s="21">
        <v>3.0</v>
      </c>
      <c r="F405" s="21">
        <v>4.75</v>
      </c>
      <c r="G405" s="30">
        <f t="shared" si="1"/>
        <v>3.875</v>
      </c>
      <c r="H405" s="30">
        <f t="shared" si="4"/>
        <v>4.3125</v>
      </c>
      <c r="I405" s="31">
        <f t="shared" si="3"/>
        <v>0.4516129032</v>
      </c>
    </row>
    <row r="406" ht="22.5" customHeight="1">
      <c r="A406" s="35">
        <v>45891.0</v>
      </c>
      <c r="B406" s="21" t="s">
        <v>120</v>
      </c>
      <c r="C406" s="21" t="s">
        <v>226</v>
      </c>
      <c r="D406" s="21" t="s">
        <v>222</v>
      </c>
      <c r="E406" s="21">
        <v>3.0</v>
      </c>
      <c r="F406" s="21">
        <v>4.25</v>
      </c>
      <c r="G406" s="30">
        <f t="shared" si="1"/>
        <v>3.625</v>
      </c>
      <c r="H406" s="30">
        <f t="shared" si="4"/>
        <v>3.9375</v>
      </c>
      <c r="I406" s="31">
        <f t="shared" si="3"/>
        <v>0.3448275862</v>
      </c>
    </row>
    <row r="407" ht="22.5" customHeight="1">
      <c r="A407" s="35">
        <v>45891.0</v>
      </c>
      <c r="B407" s="21" t="s">
        <v>120</v>
      </c>
      <c r="C407" s="21" t="s">
        <v>227</v>
      </c>
      <c r="D407" s="21" t="s">
        <v>222</v>
      </c>
      <c r="E407" s="21">
        <v>2.5</v>
      </c>
      <c r="F407" s="21">
        <v>4.08</v>
      </c>
      <c r="G407" s="30">
        <f t="shared" si="1"/>
        <v>3.29</v>
      </c>
      <c r="H407" s="30">
        <f t="shared" si="4"/>
        <v>3.685</v>
      </c>
      <c r="I407" s="31">
        <f t="shared" si="3"/>
        <v>0.4802431611</v>
      </c>
    </row>
    <row r="408" ht="22.5" customHeight="1">
      <c r="A408" s="35">
        <v>45891.0</v>
      </c>
      <c r="B408" s="21" t="s">
        <v>120</v>
      </c>
      <c r="C408" s="21" t="s">
        <v>228</v>
      </c>
      <c r="D408" s="21" t="s">
        <v>222</v>
      </c>
      <c r="E408" s="21">
        <v>2.1</v>
      </c>
      <c r="F408" s="21">
        <v>3.46</v>
      </c>
      <c r="G408" s="30">
        <f t="shared" si="1"/>
        <v>2.78</v>
      </c>
      <c r="H408" s="30">
        <f t="shared" si="4"/>
        <v>3.12</v>
      </c>
      <c r="I408" s="31">
        <f t="shared" si="3"/>
        <v>0.4892086331</v>
      </c>
    </row>
    <row r="409" ht="22.5" customHeight="1">
      <c r="A409" s="35">
        <v>45891.0</v>
      </c>
      <c r="B409" s="21" t="s">
        <v>120</v>
      </c>
      <c r="C409" s="21" t="s">
        <v>229</v>
      </c>
      <c r="D409" s="21" t="s">
        <v>222</v>
      </c>
      <c r="E409" s="21">
        <v>2.15</v>
      </c>
      <c r="F409" s="21">
        <v>3.25</v>
      </c>
      <c r="G409" s="30">
        <f t="shared" si="1"/>
        <v>2.7</v>
      </c>
      <c r="H409" s="30">
        <f t="shared" si="4"/>
        <v>2.975</v>
      </c>
      <c r="I409" s="31">
        <f t="shared" si="3"/>
        <v>0.4074074074</v>
      </c>
    </row>
    <row r="410" ht="22.5" customHeight="1">
      <c r="A410" s="35">
        <v>45891.0</v>
      </c>
      <c r="B410" s="21" t="s">
        <v>129</v>
      </c>
      <c r="C410" s="21" t="s">
        <v>221</v>
      </c>
      <c r="D410" s="21" t="s">
        <v>222</v>
      </c>
      <c r="E410" s="21">
        <v>4.0</v>
      </c>
      <c r="F410" s="21">
        <v>6.2</v>
      </c>
      <c r="G410" s="30">
        <f t="shared" si="1"/>
        <v>5.1</v>
      </c>
      <c r="H410" s="30">
        <f t="shared" si="4"/>
        <v>5.65</v>
      </c>
      <c r="I410" s="31">
        <f t="shared" si="3"/>
        <v>0.431372549</v>
      </c>
    </row>
    <row r="411" ht="22.5" customHeight="1">
      <c r="A411" s="35">
        <v>45891.0</v>
      </c>
      <c r="B411" s="21" t="s">
        <v>129</v>
      </c>
      <c r="C411" s="21" t="s">
        <v>223</v>
      </c>
      <c r="D411" s="21" t="s">
        <v>222</v>
      </c>
      <c r="E411" s="21">
        <v>3.52</v>
      </c>
      <c r="F411" s="21">
        <v>5.55</v>
      </c>
      <c r="G411" s="30">
        <f t="shared" si="1"/>
        <v>4.535</v>
      </c>
      <c r="H411" s="30">
        <f t="shared" si="4"/>
        <v>5.0425</v>
      </c>
      <c r="I411" s="31">
        <f t="shared" si="3"/>
        <v>0.447629548</v>
      </c>
    </row>
    <row r="412" ht="22.5" customHeight="1">
      <c r="A412" s="35">
        <v>45891.0</v>
      </c>
      <c r="B412" s="21" t="s">
        <v>129</v>
      </c>
      <c r="C412" s="21" t="s">
        <v>224</v>
      </c>
      <c r="D412" s="21" t="s">
        <v>222</v>
      </c>
      <c r="E412" s="21">
        <v>3.0</v>
      </c>
      <c r="F412" s="21">
        <v>5.0</v>
      </c>
      <c r="G412" s="30">
        <f t="shared" si="1"/>
        <v>4</v>
      </c>
      <c r="H412" s="30">
        <f t="shared" si="4"/>
        <v>4.5</v>
      </c>
      <c r="I412" s="31">
        <f t="shared" si="3"/>
        <v>0.5</v>
      </c>
    </row>
    <row r="413" ht="22.5" customHeight="1">
      <c r="A413" s="35">
        <v>45891.0</v>
      </c>
      <c r="B413" s="21" t="s">
        <v>129</v>
      </c>
      <c r="C413" s="21" t="s">
        <v>225</v>
      </c>
      <c r="D413" s="21" t="s">
        <v>222</v>
      </c>
      <c r="E413" s="21">
        <v>3.1</v>
      </c>
      <c r="F413" s="21">
        <v>4.4</v>
      </c>
      <c r="G413" s="30">
        <f t="shared" si="1"/>
        <v>3.75</v>
      </c>
      <c r="H413" s="30">
        <f t="shared" si="4"/>
        <v>4.075</v>
      </c>
      <c r="I413" s="31">
        <f t="shared" si="3"/>
        <v>0.3466666667</v>
      </c>
    </row>
    <row r="414" ht="22.5" customHeight="1">
      <c r="A414" s="35">
        <v>45891.0</v>
      </c>
      <c r="B414" s="21" t="s">
        <v>129</v>
      </c>
      <c r="C414" s="21" t="s">
        <v>226</v>
      </c>
      <c r="D414" s="21" t="s">
        <v>222</v>
      </c>
      <c r="E414" s="21">
        <v>2.65</v>
      </c>
      <c r="F414" s="21">
        <v>4.28</v>
      </c>
      <c r="G414" s="30">
        <f t="shared" si="1"/>
        <v>3.465</v>
      </c>
      <c r="H414" s="30">
        <f t="shared" si="4"/>
        <v>3.8725</v>
      </c>
      <c r="I414" s="31">
        <f t="shared" si="3"/>
        <v>0.4704184704</v>
      </c>
    </row>
    <row r="415" ht="22.5" customHeight="1">
      <c r="A415" s="35">
        <v>45891.0</v>
      </c>
      <c r="B415" s="21" t="s">
        <v>129</v>
      </c>
      <c r="C415" s="21" t="s">
        <v>227</v>
      </c>
      <c r="D415" s="21" t="s">
        <v>222</v>
      </c>
      <c r="E415" s="21">
        <v>2.2</v>
      </c>
      <c r="F415" s="21">
        <v>3.75</v>
      </c>
      <c r="G415" s="30">
        <f t="shared" si="1"/>
        <v>2.975</v>
      </c>
      <c r="H415" s="30">
        <f t="shared" si="4"/>
        <v>3.3625</v>
      </c>
      <c r="I415" s="31">
        <f t="shared" si="3"/>
        <v>0.5210084034</v>
      </c>
    </row>
    <row r="416" ht="22.5" customHeight="1">
      <c r="A416" s="35">
        <v>45891.0</v>
      </c>
      <c r="B416" s="21" t="s">
        <v>129</v>
      </c>
      <c r="C416" s="21" t="s">
        <v>228</v>
      </c>
      <c r="D416" s="21" t="s">
        <v>222</v>
      </c>
      <c r="E416" s="21">
        <v>2.2</v>
      </c>
      <c r="F416" s="21">
        <v>3.4</v>
      </c>
      <c r="G416" s="30">
        <f t="shared" si="1"/>
        <v>2.8</v>
      </c>
      <c r="H416" s="30">
        <f t="shared" si="4"/>
        <v>3.1</v>
      </c>
      <c r="I416" s="31">
        <f t="shared" si="3"/>
        <v>0.4285714286</v>
      </c>
    </row>
    <row r="417" ht="22.5" customHeight="1">
      <c r="A417" s="35">
        <v>45891.0</v>
      </c>
      <c r="B417" s="21" t="s">
        <v>129</v>
      </c>
      <c r="C417" s="21" t="s">
        <v>229</v>
      </c>
      <c r="D417" s="21" t="s">
        <v>222</v>
      </c>
      <c r="E417" s="21">
        <v>1.76</v>
      </c>
      <c r="F417" s="21">
        <v>2.91</v>
      </c>
      <c r="G417" s="30">
        <f t="shared" si="1"/>
        <v>2.335</v>
      </c>
      <c r="H417" s="30">
        <f t="shared" si="4"/>
        <v>2.6225</v>
      </c>
      <c r="I417" s="31">
        <f t="shared" si="3"/>
        <v>0.4925053533</v>
      </c>
    </row>
    <row r="418" ht="22.5" customHeight="1">
      <c r="A418" s="35">
        <v>45905.0</v>
      </c>
      <c r="B418" s="21" t="s">
        <v>136</v>
      </c>
      <c r="C418" s="21"/>
      <c r="D418" s="21" t="s">
        <v>210</v>
      </c>
      <c r="E418" s="21">
        <v>0.6</v>
      </c>
      <c r="F418" s="21">
        <v>1.35</v>
      </c>
      <c r="G418" s="30">
        <f t="shared" si="1"/>
        <v>0.975</v>
      </c>
      <c r="H418" s="30">
        <f t="shared" si="4"/>
        <v>1.1625</v>
      </c>
      <c r="I418" s="31">
        <f t="shared" si="3"/>
        <v>0.7692307692</v>
      </c>
    </row>
    <row r="419" ht="22.5" customHeight="1">
      <c r="A419" s="35">
        <v>45905.0</v>
      </c>
      <c r="B419" s="21" t="s">
        <v>136</v>
      </c>
      <c r="C419" s="21"/>
      <c r="D419" s="21" t="s">
        <v>211</v>
      </c>
      <c r="E419" s="21">
        <v>1.36</v>
      </c>
      <c r="F419" s="21">
        <v>1.63</v>
      </c>
      <c r="G419" s="30">
        <f t="shared" si="1"/>
        <v>1.495</v>
      </c>
      <c r="H419" s="30">
        <f t="shared" si="4"/>
        <v>1.5625</v>
      </c>
      <c r="I419" s="31">
        <f t="shared" si="3"/>
        <v>0.1806020067</v>
      </c>
    </row>
    <row r="420" ht="22.5" customHeight="1">
      <c r="A420" s="35">
        <v>45905.0</v>
      </c>
      <c r="B420" s="21" t="s">
        <v>136</v>
      </c>
      <c r="C420" s="21"/>
      <c r="D420" s="21" t="s">
        <v>212</v>
      </c>
      <c r="E420" s="21">
        <v>1.65</v>
      </c>
      <c r="F420" s="21">
        <v>1.81</v>
      </c>
      <c r="G420" s="30">
        <f t="shared" si="1"/>
        <v>1.73</v>
      </c>
      <c r="H420" s="30">
        <f t="shared" si="4"/>
        <v>1.77</v>
      </c>
      <c r="I420" s="31">
        <f t="shared" si="3"/>
        <v>0.09248554913</v>
      </c>
    </row>
    <row r="421" ht="22.5" customHeight="1">
      <c r="A421" s="35">
        <v>45905.0</v>
      </c>
      <c r="B421" s="21" t="s">
        <v>139</v>
      </c>
      <c r="C421" s="21"/>
      <c r="D421" s="21" t="s">
        <v>214</v>
      </c>
      <c r="E421" s="21">
        <v>1.74</v>
      </c>
      <c r="F421" s="21">
        <v>1.97</v>
      </c>
      <c r="G421" s="30">
        <f t="shared" si="1"/>
        <v>1.855</v>
      </c>
      <c r="H421" s="30">
        <f t="shared" si="4"/>
        <v>1.9125</v>
      </c>
      <c r="I421" s="31">
        <f t="shared" si="3"/>
        <v>0.1239892183</v>
      </c>
    </row>
    <row r="422" ht="22.5" customHeight="1">
      <c r="A422" s="35">
        <v>45905.0</v>
      </c>
      <c r="B422" s="21" t="s">
        <v>139</v>
      </c>
      <c r="C422" s="21"/>
      <c r="D422" s="21" t="s">
        <v>215</v>
      </c>
      <c r="E422" s="21">
        <v>2.08</v>
      </c>
      <c r="F422" s="21">
        <v>2.08</v>
      </c>
      <c r="G422" s="30">
        <f t="shared" si="1"/>
        <v>2.08</v>
      </c>
      <c r="H422" s="30">
        <f t="shared" si="4"/>
        <v>2.08</v>
      </c>
      <c r="I422" s="31">
        <f t="shared" si="3"/>
        <v>0</v>
      </c>
    </row>
    <row r="423" ht="22.5" customHeight="1">
      <c r="A423" s="35">
        <v>45905.0</v>
      </c>
      <c r="B423" s="21" t="s">
        <v>139</v>
      </c>
      <c r="C423" s="21"/>
      <c r="D423" s="21" t="s">
        <v>216</v>
      </c>
      <c r="E423" s="21">
        <v>1.35</v>
      </c>
      <c r="F423" s="21">
        <v>1.7</v>
      </c>
      <c r="G423" s="30">
        <f t="shared" si="1"/>
        <v>1.525</v>
      </c>
      <c r="H423" s="30">
        <f t="shared" si="4"/>
        <v>1.6125</v>
      </c>
      <c r="I423" s="31">
        <f t="shared" si="3"/>
        <v>0.2295081967</v>
      </c>
    </row>
    <row r="424" ht="22.5" customHeight="1">
      <c r="A424" s="35">
        <v>45905.0</v>
      </c>
      <c r="B424" s="21" t="s">
        <v>133</v>
      </c>
      <c r="C424" s="21"/>
      <c r="D424" s="21" t="s">
        <v>217</v>
      </c>
      <c r="E424" s="21">
        <v>3800.0</v>
      </c>
      <c r="F424" s="21">
        <v>4400.0</v>
      </c>
      <c r="G424" s="30">
        <f t="shared" si="1"/>
        <v>4100</v>
      </c>
      <c r="H424" s="30">
        <f t="shared" si="4"/>
        <v>4250</v>
      </c>
      <c r="I424" s="31">
        <f t="shared" si="3"/>
        <v>0.1463414634</v>
      </c>
    </row>
    <row r="425" ht="22.5" customHeight="1">
      <c r="A425" s="35">
        <v>45905.0</v>
      </c>
      <c r="B425" s="21" t="s">
        <v>133</v>
      </c>
      <c r="C425" s="21"/>
      <c r="D425" s="21" t="s">
        <v>218</v>
      </c>
      <c r="E425" s="21">
        <v>2500.0</v>
      </c>
      <c r="F425" s="21">
        <v>3500.0</v>
      </c>
      <c r="G425" s="30">
        <f t="shared" si="1"/>
        <v>3000</v>
      </c>
      <c r="H425" s="30">
        <f t="shared" si="4"/>
        <v>3250</v>
      </c>
      <c r="I425" s="31">
        <f t="shared" si="3"/>
        <v>0.3333333333</v>
      </c>
    </row>
    <row r="426" ht="22.5" customHeight="1">
      <c r="A426" s="35">
        <v>45905.0</v>
      </c>
      <c r="B426" s="21" t="s">
        <v>133</v>
      </c>
      <c r="C426" s="21"/>
      <c r="D426" s="21" t="s">
        <v>219</v>
      </c>
      <c r="E426" s="21">
        <v>3000.0</v>
      </c>
      <c r="F426" s="21">
        <v>4000.0</v>
      </c>
      <c r="G426" s="30">
        <f t="shared" si="1"/>
        <v>3500</v>
      </c>
      <c r="H426" s="30">
        <f t="shared" si="4"/>
        <v>3750</v>
      </c>
      <c r="I426" s="31">
        <f t="shared" si="3"/>
        <v>0.2857142857</v>
      </c>
    </row>
    <row r="427" ht="22.5" customHeight="1">
      <c r="A427" s="35">
        <v>45905.0</v>
      </c>
      <c r="B427" s="21" t="s">
        <v>133</v>
      </c>
      <c r="C427" s="21"/>
      <c r="D427" s="21" t="s">
        <v>220</v>
      </c>
      <c r="E427" s="21">
        <v>1750.0</v>
      </c>
      <c r="F427" s="21">
        <v>2500.0</v>
      </c>
      <c r="G427" s="30">
        <f t="shared" si="1"/>
        <v>2125</v>
      </c>
      <c r="H427" s="30">
        <f t="shared" si="4"/>
        <v>2312.5</v>
      </c>
      <c r="I427" s="31">
        <f t="shared" si="3"/>
        <v>0.3529411765</v>
      </c>
    </row>
    <row r="428" ht="22.5" customHeight="1">
      <c r="A428" s="35">
        <v>45905.0</v>
      </c>
      <c r="B428" s="21" t="s">
        <v>120</v>
      </c>
      <c r="C428" s="21" t="s">
        <v>221</v>
      </c>
      <c r="D428" s="21" t="s">
        <v>222</v>
      </c>
      <c r="E428" s="21">
        <v>4.7</v>
      </c>
      <c r="F428" s="21">
        <v>6.45</v>
      </c>
      <c r="G428" s="30">
        <f t="shared" si="1"/>
        <v>5.575</v>
      </c>
      <c r="H428" s="30">
        <f t="shared" si="4"/>
        <v>6.0125</v>
      </c>
      <c r="I428" s="31">
        <f t="shared" si="3"/>
        <v>0.3139013453</v>
      </c>
    </row>
    <row r="429" ht="22.5" customHeight="1">
      <c r="A429" s="35">
        <v>45905.0</v>
      </c>
      <c r="B429" s="21" t="s">
        <v>120</v>
      </c>
      <c r="C429" s="21" t="s">
        <v>223</v>
      </c>
      <c r="D429" s="21" t="s">
        <v>222</v>
      </c>
      <c r="E429" s="21">
        <v>3.62</v>
      </c>
      <c r="F429" s="21">
        <v>6.05</v>
      </c>
      <c r="G429" s="30">
        <f t="shared" si="1"/>
        <v>4.835</v>
      </c>
      <c r="H429" s="30">
        <f t="shared" si="4"/>
        <v>5.4425</v>
      </c>
      <c r="I429" s="31">
        <f t="shared" si="3"/>
        <v>0.5025853154</v>
      </c>
    </row>
    <row r="430" ht="22.5" customHeight="1">
      <c r="A430" s="35">
        <v>45905.0</v>
      </c>
      <c r="B430" s="21" t="s">
        <v>120</v>
      </c>
      <c r="C430" s="21" t="s">
        <v>224</v>
      </c>
      <c r="D430" s="21" t="s">
        <v>222</v>
      </c>
      <c r="E430" s="21">
        <v>3.6</v>
      </c>
      <c r="F430" s="21">
        <v>5.55</v>
      </c>
      <c r="G430" s="30">
        <f t="shared" si="1"/>
        <v>4.575</v>
      </c>
      <c r="H430" s="30">
        <f t="shared" si="4"/>
        <v>5.0625</v>
      </c>
      <c r="I430" s="31">
        <f t="shared" si="3"/>
        <v>0.4262295082</v>
      </c>
    </row>
    <row r="431" ht="22.5" customHeight="1">
      <c r="A431" s="35">
        <v>45905.0</v>
      </c>
      <c r="B431" s="21" t="s">
        <v>120</v>
      </c>
      <c r="C431" s="21" t="s">
        <v>225</v>
      </c>
      <c r="D431" s="21" t="s">
        <v>222</v>
      </c>
      <c r="E431" s="21">
        <v>3.0</v>
      </c>
      <c r="F431" s="21">
        <v>4.65</v>
      </c>
      <c r="G431" s="30">
        <f t="shared" si="1"/>
        <v>3.825</v>
      </c>
      <c r="H431" s="30">
        <f t="shared" si="4"/>
        <v>4.2375</v>
      </c>
      <c r="I431" s="31">
        <f t="shared" si="3"/>
        <v>0.431372549</v>
      </c>
    </row>
    <row r="432" ht="22.5" customHeight="1">
      <c r="A432" s="35">
        <v>45905.0</v>
      </c>
      <c r="B432" s="21" t="s">
        <v>120</v>
      </c>
      <c r="C432" s="21" t="s">
        <v>226</v>
      </c>
      <c r="D432" s="21" t="s">
        <v>222</v>
      </c>
      <c r="E432" s="21">
        <v>3.0</v>
      </c>
      <c r="F432" s="21">
        <v>4.47</v>
      </c>
      <c r="G432" s="30">
        <f t="shared" si="1"/>
        <v>3.735</v>
      </c>
      <c r="H432" s="30">
        <f t="shared" si="4"/>
        <v>4.1025</v>
      </c>
      <c r="I432" s="31">
        <f t="shared" si="3"/>
        <v>0.3935742972</v>
      </c>
    </row>
    <row r="433" ht="22.5" customHeight="1">
      <c r="A433" s="35">
        <v>45905.0</v>
      </c>
      <c r="B433" s="21" t="s">
        <v>120</v>
      </c>
      <c r="C433" s="21" t="s">
        <v>227</v>
      </c>
      <c r="D433" s="21" t="s">
        <v>222</v>
      </c>
      <c r="E433" s="21">
        <v>2.5</v>
      </c>
      <c r="F433" s="21">
        <v>3.87</v>
      </c>
      <c r="G433" s="30">
        <f t="shared" si="1"/>
        <v>3.185</v>
      </c>
      <c r="H433" s="30">
        <f t="shared" si="4"/>
        <v>3.5275</v>
      </c>
      <c r="I433" s="31">
        <f t="shared" si="3"/>
        <v>0.4301412873</v>
      </c>
    </row>
    <row r="434" ht="22.5" customHeight="1">
      <c r="A434" s="35">
        <v>45905.0</v>
      </c>
      <c r="B434" s="21" t="s">
        <v>120</v>
      </c>
      <c r="C434" s="21" t="s">
        <v>228</v>
      </c>
      <c r="D434" s="21" t="s">
        <v>222</v>
      </c>
      <c r="E434" s="21">
        <v>2.1</v>
      </c>
      <c r="F434" s="21">
        <v>3.62</v>
      </c>
      <c r="G434" s="30">
        <f t="shared" si="1"/>
        <v>2.86</v>
      </c>
      <c r="H434" s="30">
        <f t="shared" si="4"/>
        <v>3.24</v>
      </c>
      <c r="I434" s="31">
        <f t="shared" si="3"/>
        <v>0.5314685315</v>
      </c>
    </row>
    <row r="435" ht="22.5" customHeight="1">
      <c r="A435" s="35">
        <v>45905.0</v>
      </c>
      <c r="B435" s="21" t="s">
        <v>120</v>
      </c>
      <c r="C435" s="21" t="s">
        <v>229</v>
      </c>
      <c r="D435" s="21" t="s">
        <v>222</v>
      </c>
      <c r="E435" s="21">
        <v>2.15</v>
      </c>
      <c r="F435" s="21">
        <v>3.25</v>
      </c>
      <c r="G435" s="30">
        <f t="shared" si="1"/>
        <v>2.7</v>
      </c>
      <c r="H435" s="30">
        <f t="shared" si="4"/>
        <v>2.975</v>
      </c>
      <c r="I435" s="31">
        <f t="shared" si="3"/>
        <v>0.4074074074</v>
      </c>
    </row>
    <row r="436" ht="22.5" customHeight="1">
      <c r="A436" s="35">
        <v>45905.0</v>
      </c>
      <c r="B436" s="21" t="s">
        <v>129</v>
      </c>
      <c r="C436" s="21" t="s">
        <v>221</v>
      </c>
      <c r="D436" s="21" t="s">
        <v>222</v>
      </c>
      <c r="E436" s="21">
        <v>4.0</v>
      </c>
      <c r="F436" s="21">
        <v>6.4</v>
      </c>
      <c r="G436" s="30">
        <f t="shared" si="1"/>
        <v>5.2</v>
      </c>
      <c r="H436" s="30">
        <f t="shared" si="4"/>
        <v>5.8</v>
      </c>
      <c r="I436" s="31">
        <f t="shared" si="3"/>
        <v>0.4615384615</v>
      </c>
    </row>
    <row r="437" ht="22.5" customHeight="1">
      <c r="A437" s="35">
        <v>45905.0</v>
      </c>
      <c r="B437" s="21" t="s">
        <v>129</v>
      </c>
      <c r="C437" s="21" t="s">
        <v>223</v>
      </c>
      <c r="D437" s="21" t="s">
        <v>222</v>
      </c>
      <c r="E437" s="21">
        <v>3.52</v>
      </c>
      <c r="F437" s="21">
        <v>6.1</v>
      </c>
      <c r="G437" s="30">
        <f t="shared" si="1"/>
        <v>4.81</v>
      </c>
      <c r="H437" s="30">
        <f t="shared" si="4"/>
        <v>5.455</v>
      </c>
      <c r="I437" s="31">
        <f t="shared" si="3"/>
        <v>0.5363825364</v>
      </c>
    </row>
    <row r="438" ht="22.5" customHeight="1">
      <c r="A438" s="35">
        <v>45905.0</v>
      </c>
      <c r="B438" s="21" t="s">
        <v>129</v>
      </c>
      <c r="C438" s="21" t="s">
        <v>224</v>
      </c>
      <c r="D438" s="21" t="s">
        <v>222</v>
      </c>
      <c r="E438" s="21">
        <v>3.0</v>
      </c>
      <c r="F438" s="21">
        <v>4.9</v>
      </c>
      <c r="G438" s="30">
        <f t="shared" si="1"/>
        <v>3.95</v>
      </c>
      <c r="H438" s="30">
        <f t="shared" si="4"/>
        <v>4.425</v>
      </c>
      <c r="I438" s="31">
        <f t="shared" si="3"/>
        <v>0.4810126582</v>
      </c>
    </row>
    <row r="439" ht="22.5" customHeight="1">
      <c r="A439" s="35">
        <v>45905.0</v>
      </c>
      <c r="B439" s="21" t="s">
        <v>129</v>
      </c>
      <c r="C439" s="21" t="s">
        <v>225</v>
      </c>
      <c r="D439" s="21" t="s">
        <v>222</v>
      </c>
      <c r="E439" s="21">
        <v>3.1</v>
      </c>
      <c r="F439" s="21">
        <v>4.75</v>
      </c>
      <c r="G439" s="30">
        <f t="shared" si="1"/>
        <v>3.925</v>
      </c>
      <c r="H439" s="30">
        <f t="shared" si="4"/>
        <v>4.3375</v>
      </c>
      <c r="I439" s="31">
        <f t="shared" si="3"/>
        <v>0.4203821656</v>
      </c>
    </row>
    <row r="440" ht="22.5" customHeight="1">
      <c r="A440" s="35">
        <v>45905.0</v>
      </c>
      <c r="B440" s="21" t="s">
        <v>129</v>
      </c>
      <c r="C440" s="21" t="s">
        <v>226</v>
      </c>
      <c r="D440" s="21" t="s">
        <v>222</v>
      </c>
      <c r="E440" s="21">
        <v>2.65</v>
      </c>
      <c r="F440" s="21">
        <v>4.25</v>
      </c>
      <c r="G440" s="30">
        <f t="shared" si="1"/>
        <v>3.45</v>
      </c>
      <c r="H440" s="30">
        <f t="shared" si="4"/>
        <v>3.85</v>
      </c>
      <c r="I440" s="31">
        <f t="shared" si="3"/>
        <v>0.4637681159</v>
      </c>
    </row>
    <row r="441" ht="22.5" customHeight="1">
      <c r="A441" s="35">
        <v>45905.0</v>
      </c>
      <c r="B441" s="21" t="s">
        <v>129</v>
      </c>
      <c r="C441" s="21" t="s">
        <v>227</v>
      </c>
      <c r="D441" s="21" t="s">
        <v>222</v>
      </c>
      <c r="E441" s="21">
        <v>2.2</v>
      </c>
      <c r="F441" s="21">
        <v>3.65</v>
      </c>
      <c r="G441" s="30">
        <f t="shared" si="1"/>
        <v>2.925</v>
      </c>
      <c r="H441" s="30">
        <f t="shared" si="4"/>
        <v>3.2875</v>
      </c>
      <c r="I441" s="31">
        <f t="shared" si="3"/>
        <v>0.4957264957</v>
      </c>
    </row>
    <row r="442" ht="22.5" customHeight="1">
      <c r="A442" s="35">
        <v>45905.0</v>
      </c>
      <c r="B442" s="21" t="s">
        <v>129</v>
      </c>
      <c r="C442" s="21" t="s">
        <v>228</v>
      </c>
      <c r="D442" s="21" t="s">
        <v>222</v>
      </c>
      <c r="E442" s="21">
        <v>2.2</v>
      </c>
      <c r="F442" s="21">
        <v>3.3</v>
      </c>
      <c r="G442" s="30">
        <f t="shared" si="1"/>
        <v>2.75</v>
      </c>
      <c r="H442" s="30">
        <f t="shared" si="4"/>
        <v>3.025</v>
      </c>
      <c r="I442" s="31">
        <f t="shared" si="3"/>
        <v>0.4</v>
      </c>
    </row>
    <row r="443" ht="22.5" customHeight="1">
      <c r="A443" s="35">
        <v>45905.0</v>
      </c>
      <c r="B443" s="21" t="s">
        <v>129</v>
      </c>
      <c r="C443" s="21" t="s">
        <v>229</v>
      </c>
      <c r="D443" s="21" t="s">
        <v>222</v>
      </c>
      <c r="E443" s="21">
        <v>1.76</v>
      </c>
      <c r="F443" s="21">
        <v>2.85</v>
      </c>
      <c r="G443" s="30">
        <f t="shared" si="1"/>
        <v>2.305</v>
      </c>
      <c r="H443" s="30">
        <f t="shared" si="4"/>
        <v>2.5775</v>
      </c>
      <c r="I443" s="31">
        <f t="shared" si="3"/>
        <v>0.4728850325</v>
      </c>
    </row>
    <row r="444" ht="22.5" customHeight="1">
      <c r="A444" s="35">
        <v>45814.0</v>
      </c>
      <c r="B444" s="21" t="s">
        <v>136</v>
      </c>
      <c r="C444" s="21"/>
      <c r="D444" s="21" t="s">
        <v>210</v>
      </c>
      <c r="E444" s="21">
        <v>0.57</v>
      </c>
      <c r="F444" s="21">
        <v>1.2</v>
      </c>
      <c r="G444" s="30">
        <f t="shared" si="1"/>
        <v>0.885</v>
      </c>
      <c r="H444" s="30">
        <f t="shared" si="4"/>
        <v>1.0425</v>
      </c>
      <c r="I444" s="31">
        <f t="shared" si="3"/>
        <v>0.7118644068</v>
      </c>
    </row>
    <row r="445" ht="22.5" customHeight="1">
      <c r="A445" s="35">
        <v>45814.0</v>
      </c>
      <c r="B445" s="21" t="s">
        <v>136</v>
      </c>
      <c r="C445" s="21"/>
      <c r="D445" s="21" t="s">
        <v>211</v>
      </c>
      <c r="E445" s="21">
        <v>1.2</v>
      </c>
      <c r="F445" s="21">
        <v>1.47</v>
      </c>
      <c r="G445" s="30">
        <f t="shared" si="1"/>
        <v>1.335</v>
      </c>
      <c r="H445" s="30">
        <f t="shared" si="4"/>
        <v>1.4025</v>
      </c>
      <c r="I445" s="31">
        <f t="shared" si="3"/>
        <v>0.202247191</v>
      </c>
    </row>
    <row r="446" ht="22.5" customHeight="1">
      <c r="A446" s="35">
        <v>45814.0</v>
      </c>
      <c r="B446" s="21" t="s">
        <v>136</v>
      </c>
      <c r="C446" s="21"/>
      <c r="D446" s="21" t="s">
        <v>212</v>
      </c>
      <c r="E446" s="21">
        <v>1.48</v>
      </c>
      <c r="F446" s="21">
        <v>1.65</v>
      </c>
      <c r="G446" s="30">
        <f t="shared" si="1"/>
        <v>1.565</v>
      </c>
      <c r="H446" s="30">
        <f t="shared" si="4"/>
        <v>1.6075</v>
      </c>
      <c r="I446" s="31">
        <f t="shared" si="3"/>
        <v>0.1086261981</v>
      </c>
    </row>
    <row r="447" ht="22.5" customHeight="1">
      <c r="A447" s="35">
        <v>45814.0</v>
      </c>
      <c r="B447" s="21" t="s">
        <v>139</v>
      </c>
      <c r="C447" s="21"/>
      <c r="D447" s="21" t="s">
        <v>214</v>
      </c>
      <c r="E447" s="21">
        <v>1.6</v>
      </c>
      <c r="F447" s="21">
        <v>1.88</v>
      </c>
      <c r="G447" s="30">
        <f t="shared" si="1"/>
        <v>1.74</v>
      </c>
      <c r="H447" s="30">
        <f t="shared" si="4"/>
        <v>1.81</v>
      </c>
      <c r="I447" s="31">
        <f t="shared" si="3"/>
        <v>0.1609195402</v>
      </c>
    </row>
    <row r="448" ht="22.5" customHeight="1">
      <c r="A448" s="35">
        <v>45814.0</v>
      </c>
      <c r="B448" s="21" t="s">
        <v>139</v>
      </c>
      <c r="C448" s="21"/>
      <c r="D448" s="21" t="s">
        <v>215</v>
      </c>
      <c r="E448" s="21">
        <v>1.94</v>
      </c>
      <c r="F448" s="21">
        <v>1.94</v>
      </c>
      <c r="G448" s="30">
        <f t="shared" si="1"/>
        <v>1.94</v>
      </c>
      <c r="H448" s="30">
        <f t="shared" si="4"/>
        <v>1.94</v>
      </c>
      <c r="I448" s="31">
        <f t="shared" si="3"/>
        <v>0</v>
      </c>
    </row>
    <row r="449" ht="22.5" customHeight="1">
      <c r="A449" s="35">
        <v>45814.0</v>
      </c>
      <c r="B449" s="21" t="s">
        <v>139</v>
      </c>
      <c r="C449" s="21"/>
      <c r="D449" s="21" t="s">
        <v>216</v>
      </c>
      <c r="E449" s="21">
        <v>1.4</v>
      </c>
      <c r="F449" s="21">
        <v>1.58</v>
      </c>
      <c r="G449" s="30">
        <f t="shared" si="1"/>
        <v>1.49</v>
      </c>
      <c r="H449" s="30">
        <f t="shared" si="4"/>
        <v>1.535</v>
      </c>
      <c r="I449" s="31">
        <f t="shared" si="3"/>
        <v>0.1208053691</v>
      </c>
    </row>
    <row r="450" ht="22.5" customHeight="1">
      <c r="A450" s="35">
        <v>45814.0</v>
      </c>
      <c r="B450" s="21" t="s">
        <v>133</v>
      </c>
      <c r="C450" s="21"/>
      <c r="D450" s="21" t="s">
        <v>217</v>
      </c>
      <c r="E450" s="21">
        <v>3000.0</v>
      </c>
      <c r="F450" s="21">
        <v>3800.0</v>
      </c>
      <c r="G450" s="30">
        <f t="shared" si="1"/>
        <v>3400</v>
      </c>
      <c r="H450" s="30">
        <f t="shared" si="4"/>
        <v>3600</v>
      </c>
      <c r="I450" s="31">
        <f t="shared" si="3"/>
        <v>0.2352941176</v>
      </c>
    </row>
    <row r="451" ht="22.5" customHeight="1">
      <c r="A451" s="35">
        <v>45814.0</v>
      </c>
      <c r="B451" s="21" t="s">
        <v>133</v>
      </c>
      <c r="C451" s="21"/>
      <c r="D451" s="21" t="s">
        <v>218</v>
      </c>
      <c r="E451" s="21">
        <v>1800.0</v>
      </c>
      <c r="F451" s="21">
        <v>2850.0</v>
      </c>
      <c r="G451" s="30">
        <f t="shared" si="1"/>
        <v>2325</v>
      </c>
      <c r="H451" s="30">
        <f t="shared" si="4"/>
        <v>2587.5</v>
      </c>
      <c r="I451" s="31">
        <f t="shared" si="3"/>
        <v>0.4516129032</v>
      </c>
    </row>
    <row r="452" ht="22.5" customHeight="1">
      <c r="A452" s="35">
        <v>45814.0</v>
      </c>
      <c r="B452" s="21" t="s">
        <v>133</v>
      </c>
      <c r="C452" s="21"/>
      <c r="D452" s="21" t="s">
        <v>219</v>
      </c>
      <c r="E452" s="21">
        <v>2400.0</v>
      </c>
      <c r="F452" s="21">
        <v>2950.0</v>
      </c>
      <c r="G452" s="30">
        <f t="shared" si="1"/>
        <v>2675</v>
      </c>
      <c r="H452" s="30">
        <f t="shared" si="4"/>
        <v>2812.5</v>
      </c>
      <c r="I452" s="31">
        <f t="shared" si="3"/>
        <v>0.2056074766</v>
      </c>
    </row>
    <row r="453" ht="22.5" customHeight="1">
      <c r="A453" s="35">
        <v>45814.0</v>
      </c>
      <c r="B453" s="21" t="s">
        <v>133</v>
      </c>
      <c r="C453" s="21"/>
      <c r="D453" s="21" t="s">
        <v>220</v>
      </c>
      <c r="E453" s="21">
        <v>1400.0</v>
      </c>
      <c r="F453" s="21">
        <v>2850.0</v>
      </c>
      <c r="G453" s="30">
        <f t="shared" si="1"/>
        <v>2125</v>
      </c>
      <c r="H453" s="30">
        <f t="shared" si="4"/>
        <v>2487.5</v>
      </c>
      <c r="I453" s="31">
        <f t="shared" si="3"/>
        <v>0.6823529412</v>
      </c>
    </row>
    <row r="454" ht="22.5" customHeight="1">
      <c r="A454" s="35">
        <v>45814.0</v>
      </c>
      <c r="B454" s="21" t="s">
        <v>120</v>
      </c>
      <c r="C454" s="21" t="s">
        <v>221</v>
      </c>
      <c r="D454" s="21" t="s">
        <v>222</v>
      </c>
      <c r="E454" s="21">
        <v>3.25</v>
      </c>
      <c r="F454" s="21">
        <v>6.05</v>
      </c>
      <c r="G454" s="30">
        <f t="shared" si="1"/>
        <v>4.65</v>
      </c>
      <c r="H454" s="30">
        <f t="shared" si="4"/>
        <v>5.35</v>
      </c>
      <c r="I454" s="31">
        <f t="shared" si="3"/>
        <v>0.6021505376</v>
      </c>
    </row>
    <row r="455" ht="22.5" customHeight="1">
      <c r="A455" s="35">
        <v>45814.0</v>
      </c>
      <c r="B455" s="21" t="s">
        <v>120</v>
      </c>
      <c r="C455" s="21" t="s">
        <v>223</v>
      </c>
      <c r="D455" s="21" t="s">
        <v>222</v>
      </c>
      <c r="E455" s="21">
        <v>3.4</v>
      </c>
      <c r="F455" s="21">
        <v>6.0</v>
      </c>
      <c r="G455" s="30">
        <f t="shared" si="1"/>
        <v>4.7</v>
      </c>
      <c r="H455" s="30">
        <f t="shared" si="4"/>
        <v>5.35</v>
      </c>
      <c r="I455" s="31">
        <f t="shared" si="3"/>
        <v>0.5531914894</v>
      </c>
    </row>
    <row r="456" ht="22.5" customHeight="1">
      <c r="A456" s="35">
        <v>45814.0</v>
      </c>
      <c r="B456" s="21" t="s">
        <v>120</v>
      </c>
      <c r="C456" s="21" t="s">
        <v>224</v>
      </c>
      <c r="D456" s="21" t="s">
        <v>222</v>
      </c>
      <c r="E456" s="21">
        <v>3.5</v>
      </c>
      <c r="F456" s="21">
        <v>5.05</v>
      </c>
      <c r="G456" s="30">
        <f t="shared" si="1"/>
        <v>4.275</v>
      </c>
      <c r="H456" s="30">
        <f t="shared" si="4"/>
        <v>4.6625</v>
      </c>
      <c r="I456" s="31">
        <f t="shared" si="3"/>
        <v>0.3625730994</v>
      </c>
    </row>
    <row r="457" ht="22.5" customHeight="1">
      <c r="A457" s="35">
        <v>45814.0</v>
      </c>
      <c r="B457" s="21" t="s">
        <v>120</v>
      </c>
      <c r="C457" s="21" t="s">
        <v>225</v>
      </c>
      <c r="D457" s="21" t="s">
        <v>222</v>
      </c>
      <c r="E457" s="21">
        <v>2.85</v>
      </c>
      <c r="F457" s="21">
        <v>4.4</v>
      </c>
      <c r="G457" s="30">
        <f t="shared" si="1"/>
        <v>3.625</v>
      </c>
      <c r="H457" s="30">
        <f t="shared" si="4"/>
        <v>4.0125</v>
      </c>
      <c r="I457" s="31">
        <f t="shared" si="3"/>
        <v>0.4275862069</v>
      </c>
    </row>
    <row r="458" ht="22.5" customHeight="1">
      <c r="A458" s="35">
        <v>45814.0</v>
      </c>
      <c r="B458" s="21" t="s">
        <v>120</v>
      </c>
      <c r="C458" s="21" t="s">
        <v>226</v>
      </c>
      <c r="D458" s="21" t="s">
        <v>222</v>
      </c>
      <c r="E458" s="21">
        <v>2.65</v>
      </c>
      <c r="F458" s="21">
        <v>4.07</v>
      </c>
      <c r="G458" s="30">
        <f t="shared" si="1"/>
        <v>3.36</v>
      </c>
      <c r="H458" s="30">
        <f t="shared" si="4"/>
        <v>3.715</v>
      </c>
      <c r="I458" s="31">
        <f t="shared" si="3"/>
        <v>0.4226190476</v>
      </c>
    </row>
    <row r="459" ht="22.5" customHeight="1">
      <c r="A459" s="35">
        <v>45814.0</v>
      </c>
      <c r="B459" s="21" t="s">
        <v>120</v>
      </c>
      <c r="C459" s="21" t="s">
        <v>227</v>
      </c>
      <c r="D459" s="21" t="s">
        <v>222</v>
      </c>
      <c r="E459" s="21">
        <v>2.5</v>
      </c>
      <c r="F459" s="21">
        <v>3.55</v>
      </c>
      <c r="G459" s="30">
        <f t="shared" si="1"/>
        <v>3.025</v>
      </c>
      <c r="H459" s="30">
        <f t="shared" si="4"/>
        <v>3.2875</v>
      </c>
      <c r="I459" s="31">
        <f t="shared" si="3"/>
        <v>0.347107438</v>
      </c>
    </row>
    <row r="460" ht="22.5" customHeight="1">
      <c r="A460" s="35">
        <v>45814.0</v>
      </c>
      <c r="B460" s="21" t="s">
        <v>120</v>
      </c>
      <c r="C460" s="21" t="s">
        <v>228</v>
      </c>
      <c r="D460" s="21" t="s">
        <v>222</v>
      </c>
      <c r="E460" s="21">
        <v>2.3</v>
      </c>
      <c r="F460" s="21">
        <v>3.13</v>
      </c>
      <c r="G460" s="30">
        <f t="shared" si="1"/>
        <v>2.715</v>
      </c>
      <c r="H460" s="30">
        <f t="shared" si="4"/>
        <v>2.9225</v>
      </c>
      <c r="I460" s="31">
        <f t="shared" si="3"/>
        <v>0.3057090239</v>
      </c>
    </row>
    <row r="461" ht="22.5" customHeight="1">
      <c r="A461" s="35">
        <v>45814.0</v>
      </c>
      <c r="B461" s="21" t="s">
        <v>120</v>
      </c>
      <c r="C461" s="21" t="s">
        <v>229</v>
      </c>
      <c r="D461" s="21" t="s">
        <v>222</v>
      </c>
      <c r="E461" s="21">
        <v>1.75</v>
      </c>
      <c r="F461" s="21">
        <v>2.7</v>
      </c>
      <c r="G461" s="30">
        <f t="shared" si="1"/>
        <v>2.225</v>
      </c>
      <c r="H461" s="30">
        <f t="shared" si="4"/>
        <v>2.4625</v>
      </c>
      <c r="I461" s="31">
        <f t="shared" si="3"/>
        <v>0.4269662921</v>
      </c>
    </row>
    <row r="462" ht="22.5" customHeight="1">
      <c r="A462" s="35">
        <v>45814.0</v>
      </c>
      <c r="B462" s="21" t="s">
        <v>129</v>
      </c>
      <c r="C462" s="21" t="s">
        <v>221</v>
      </c>
      <c r="D462" s="21" t="s">
        <v>222</v>
      </c>
      <c r="E462" s="21">
        <v>4.5</v>
      </c>
      <c r="F462" s="21">
        <v>5.95</v>
      </c>
      <c r="G462" s="30">
        <f t="shared" si="1"/>
        <v>5.225</v>
      </c>
      <c r="H462" s="30">
        <f t="shared" si="4"/>
        <v>5.5875</v>
      </c>
      <c r="I462" s="31">
        <f t="shared" si="3"/>
        <v>0.2775119617</v>
      </c>
    </row>
    <row r="463" ht="22.5" customHeight="1">
      <c r="A463" s="35">
        <v>45814.0</v>
      </c>
      <c r="B463" s="21" t="s">
        <v>129</v>
      </c>
      <c r="C463" s="21" t="s">
        <v>223</v>
      </c>
      <c r="D463" s="21" t="s">
        <v>222</v>
      </c>
      <c r="E463" s="21">
        <v>3.52</v>
      </c>
      <c r="F463" s="21">
        <v>5.75</v>
      </c>
      <c r="G463" s="30">
        <f t="shared" si="1"/>
        <v>4.635</v>
      </c>
      <c r="H463" s="30">
        <f t="shared" si="4"/>
        <v>5.1925</v>
      </c>
      <c r="I463" s="31">
        <f t="shared" si="3"/>
        <v>0.4811218986</v>
      </c>
    </row>
    <row r="464" ht="22.5" customHeight="1">
      <c r="A464" s="35">
        <v>45814.0</v>
      </c>
      <c r="B464" s="21" t="s">
        <v>129</v>
      </c>
      <c r="C464" s="21" t="s">
        <v>224</v>
      </c>
      <c r="D464" s="21" t="s">
        <v>222</v>
      </c>
      <c r="E464" s="21">
        <v>3.0</v>
      </c>
      <c r="F464" s="21">
        <v>4.7</v>
      </c>
      <c r="G464" s="30">
        <f t="shared" si="1"/>
        <v>3.85</v>
      </c>
      <c r="H464" s="30">
        <f t="shared" si="4"/>
        <v>4.275</v>
      </c>
      <c r="I464" s="31">
        <f t="shared" si="3"/>
        <v>0.4415584416</v>
      </c>
    </row>
    <row r="465" ht="22.5" customHeight="1">
      <c r="A465" s="35">
        <v>45814.0</v>
      </c>
      <c r="B465" s="21" t="s">
        <v>129</v>
      </c>
      <c r="C465" s="21" t="s">
        <v>225</v>
      </c>
      <c r="D465" s="21" t="s">
        <v>222</v>
      </c>
      <c r="E465" s="21">
        <v>3.1</v>
      </c>
      <c r="F465" s="21">
        <v>5.0</v>
      </c>
      <c r="G465" s="30">
        <f t="shared" si="1"/>
        <v>4.05</v>
      </c>
      <c r="H465" s="30">
        <f t="shared" si="4"/>
        <v>4.525</v>
      </c>
      <c r="I465" s="31">
        <f t="shared" si="3"/>
        <v>0.4691358025</v>
      </c>
    </row>
    <row r="466" ht="22.5" customHeight="1">
      <c r="A466" s="35">
        <v>45814.0</v>
      </c>
      <c r="B466" s="21" t="s">
        <v>129</v>
      </c>
      <c r="C466" s="21" t="s">
        <v>226</v>
      </c>
      <c r="D466" s="21" t="s">
        <v>222</v>
      </c>
      <c r="E466" s="21">
        <v>2.5</v>
      </c>
      <c r="F466" s="21">
        <v>3.7</v>
      </c>
      <c r="G466" s="30">
        <f t="shared" si="1"/>
        <v>3.1</v>
      </c>
      <c r="H466" s="30">
        <f t="shared" si="4"/>
        <v>3.4</v>
      </c>
      <c r="I466" s="31">
        <f t="shared" si="3"/>
        <v>0.3870967742</v>
      </c>
    </row>
    <row r="467" ht="22.5" customHeight="1">
      <c r="A467" s="35">
        <v>45814.0</v>
      </c>
      <c r="B467" s="21" t="s">
        <v>129</v>
      </c>
      <c r="C467" s="21" t="s">
        <v>227</v>
      </c>
      <c r="D467" s="21" t="s">
        <v>222</v>
      </c>
      <c r="E467" s="21">
        <v>2.2</v>
      </c>
      <c r="F467" s="21">
        <v>3.22</v>
      </c>
      <c r="G467" s="30">
        <f t="shared" si="1"/>
        <v>2.71</v>
      </c>
      <c r="H467" s="30">
        <f t="shared" si="4"/>
        <v>2.965</v>
      </c>
      <c r="I467" s="31">
        <f t="shared" si="3"/>
        <v>0.3763837638</v>
      </c>
    </row>
    <row r="468" ht="22.5" customHeight="1">
      <c r="A468" s="35">
        <v>45814.0</v>
      </c>
      <c r="B468" s="21" t="s">
        <v>129</v>
      </c>
      <c r="C468" s="21" t="s">
        <v>228</v>
      </c>
      <c r="D468" s="21" t="s">
        <v>222</v>
      </c>
      <c r="E468" s="21">
        <v>2.15</v>
      </c>
      <c r="F468" s="21">
        <v>2.67</v>
      </c>
      <c r="G468" s="30">
        <f t="shared" si="1"/>
        <v>2.41</v>
      </c>
      <c r="H468" s="30">
        <f t="shared" si="4"/>
        <v>2.54</v>
      </c>
      <c r="I468" s="31">
        <f t="shared" si="3"/>
        <v>0.2157676349</v>
      </c>
    </row>
    <row r="469" ht="22.5" customHeight="1">
      <c r="A469" s="35">
        <v>45814.0</v>
      </c>
      <c r="B469" s="21" t="s">
        <v>129</v>
      </c>
      <c r="C469" s="21" t="s">
        <v>229</v>
      </c>
      <c r="D469" s="21" t="s">
        <v>222</v>
      </c>
      <c r="E469" s="21">
        <v>1.7</v>
      </c>
      <c r="F469" s="21">
        <v>2.41</v>
      </c>
      <c r="G469" s="30">
        <f t="shared" si="1"/>
        <v>2.055</v>
      </c>
      <c r="H469" s="30">
        <f t="shared" si="4"/>
        <v>2.2325</v>
      </c>
      <c r="I469" s="31">
        <f t="shared" si="3"/>
        <v>0.3454987835</v>
      </c>
    </row>
    <row r="470" ht="22.5" customHeight="1">
      <c r="A470" s="35">
        <v>45912.0</v>
      </c>
      <c r="B470" s="21" t="s">
        <v>136</v>
      </c>
      <c r="C470" s="21"/>
      <c r="D470" s="21" t="s">
        <v>210</v>
      </c>
      <c r="E470" s="21">
        <v>0.6</v>
      </c>
      <c r="F470" s="21">
        <v>1.35</v>
      </c>
      <c r="G470" s="30">
        <f t="shared" si="1"/>
        <v>0.975</v>
      </c>
      <c r="H470" s="30">
        <f t="shared" si="4"/>
        <v>1.1625</v>
      </c>
      <c r="I470" s="31">
        <f t="shared" si="3"/>
        <v>0.7692307692</v>
      </c>
    </row>
    <row r="471" ht="22.5" customHeight="1">
      <c r="A471" s="35">
        <v>45912.0</v>
      </c>
      <c r="B471" s="21" t="s">
        <v>136</v>
      </c>
      <c r="C471" s="21"/>
      <c r="D471" s="21" t="s">
        <v>211</v>
      </c>
      <c r="E471" s="21">
        <v>1.36</v>
      </c>
      <c r="F471" s="21">
        <v>1.55</v>
      </c>
      <c r="G471" s="30">
        <f t="shared" si="1"/>
        <v>1.455</v>
      </c>
      <c r="H471" s="30">
        <f t="shared" si="4"/>
        <v>1.5025</v>
      </c>
      <c r="I471" s="31">
        <f t="shared" si="3"/>
        <v>0.1305841924</v>
      </c>
    </row>
    <row r="472" ht="22.5" customHeight="1">
      <c r="A472" s="35">
        <v>45912.0</v>
      </c>
      <c r="B472" s="21" t="s">
        <v>136</v>
      </c>
      <c r="C472" s="21"/>
      <c r="D472" s="21" t="s">
        <v>212</v>
      </c>
      <c r="E472" s="21">
        <v>1.56</v>
      </c>
      <c r="F472" s="21">
        <v>1.77</v>
      </c>
      <c r="G472" s="30">
        <f t="shared" si="1"/>
        <v>1.665</v>
      </c>
      <c r="H472" s="30">
        <f t="shared" si="4"/>
        <v>1.7175</v>
      </c>
      <c r="I472" s="31">
        <f t="shared" si="3"/>
        <v>0.1261261261</v>
      </c>
    </row>
    <row r="473" ht="22.5" customHeight="1">
      <c r="A473" s="35">
        <v>45912.0</v>
      </c>
      <c r="B473" s="21" t="s">
        <v>139</v>
      </c>
      <c r="C473" s="21"/>
      <c r="D473" s="21" t="s">
        <v>214</v>
      </c>
      <c r="E473" s="21">
        <v>1.74</v>
      </c>
      <c r="F473" s="21">
        <v>1.92</v>
      </c>
      <c r="G473" s="30">
        <f t="shared" si="1"/>
        <v>1.83</v>
      </c>
      <c r="H473" s="30">
        <f t="shared" si="4"/>
        <v>1.875</v>
      </c>
      <c r="I473" s="31">
        <f t="shared" si="3"/>
        <v>0.09836065574</v>
      </c>
    </row>
    <row r="474" ht="22.5" customHeight="1">
      <c r="A474" s="35">
        <v>45912.0</v>
      </c>
      <c r="B474" s="21" t="s">
        <v>139</v>
      </c>
      <c r="C474" s="21"/>
      <c r="D474" s="21" t="s">
        <v>215</v>
      </c>
      <c r="E474" s="21">
        <v>2.01</v>
      </c>
      <c r="F474" s="21">
        <v>2.01</v>
      </c>
      <c r="G474" s="30">
        <f t="shared" si="1"/>
        <v>2.01</v>
      </c>
      <c r="H474" s="30">
        <f t="shared" si="4"/>
        <v>2.01</v>
      </c>
      <c r="I474" s="31">
        <f t="shared" si="3"/>
        <v>0</v>
      </c>
    </row>
    <row r="475" ht="22.5" customHeight="1">
      <c r="A475" s="35">
        <v>45912.0</v>
      </c>
      <c r="B475" s="21" t="s">
        <v>139</v>
      </c>
      <c r="C475" s="21"/>
      <c r="D475" s="21" t="s">
        <v>216</v>
      </c>
      <c r="E475" s="21">
        <v>1.35</v>
      </c>
      <c r="F475" s="21">
        <v>1.7</v>
      </c>
      <c r="G475" s="30">
        <f t="shared" si="1"/>
        <v>1.525</v>
      </c>
      <c r="H475" s="30">
        <f t="shared" si="4"/>
        <v>1.6125</v>
      </c>
      <c r="I475" s="31">
        <f t="shared" si="3"/>
        <v>0.2295081967</v>
      </c>
    </row>
    <row r="476" ht="22.5" customHeight="1">
      <c r="A476" s="35">
        <v>45912.0</v>
      </c>
      <c r="B476" s="21" t="s">
        <v>133</v>
      </c>
      <c r="C476" s="21"/>
      <c r="D476" s="21" t="s">
        <v>217</v>
      </c>
      <c r="E476" s="21">
        <v>3800.0</v>
      </c>
      <c r="F476" s="21">
        <v>4400.0</v>
      </c>
      <c r="G476" s="30">
        <f t="shared" si="1"/>
        <v>4100</v>
      </c>
      <c r="H476" s="30">
        <f t="shared" si="4"/>
        <v>4250</v>
      </c>
      <c r="I476" s="31">
        <f t="shared" si="3"/>
        <v>0.1463414634</v>
      </c>
    </row>
    <row r="477" ht="22.5" customHeight="1">
      <c r="A477" s="35">
        <v>45912.0</v>
      </c>
      <c r="B477" s="21" t="s">
        <v>133</v>
      </c>
      <c r="C477" s="21"/>
      <c r="D477" s="21" t="s">
        <v>218</v>
      </c>
      <c r="E477" s="21">
        <v>2500.0</v>
      </c>
      <c r="F477" s="21">
        <v>3500.0</v>
      </c>
      <c r="G477" s="30">
        <f t="shared" si="1"/>
        <v>3000</v>
      </c>
      <c r="H477" s="30">
        <f t="shared" si="4"/>
        <v>3250</v>
      </c>
      <c r="I477" s="31">
        <f t="shared" si="3"/>
        <v>0.3333333333</v>
      </c>
    </row>
    <row r="478" ht="22.5" customHeight="1">
      <c r="A478" s="35">
        <v>45912.0</v>
      </c>
      <c r="B478" s="21" t="s">
        <v>133</v>
      </c>
      <c r="C478" s="21"/>
      <c r="D478" s="21" t="s">
        <v>219</v>
      </c>
      <c r="E478" s="21">
        <v>3000.0</v>
      </c>
      <c r="F478" s="21">
        <v>4200.0</v>
      </c>
      <c r="G478" s="30">
        <f t="shared" si="1"/>
        <v>3600</v>
      </c>
      <c r="H478" s="30">
        <f t="shared" si="4"/>
        <v>3900</v>
      </c>
      <c r="I478" s="31">
        <f t="shared" si="3"/>
        <v>0.3333333333</v>
      </c>
    </row>
    <row r="479" ht="22.5" customHeight="1">
      <c r="A479" s="35">
        <v>45912.0</v>
      </c>
      <c r="B479" s="21" t="s">
        <v>133</v>
      </c>
      <c r="C479" s="21"/>
      <c r="D479" s="21" t="s">
        <v>220</v>
      </c>
      <c r="E479" s="21">
        <v>1750.0</v>
      </c>
      <c r="F479" s="21">
        <v>2500.0</v>
      </c>
      <c r="G479" s="30">
        <f t="shared" si="1"/>
        <v>2125</v>
      </c>
      <c r="H479" s="30">
        <f t="shared" si="4"/>
        <v>2312.5</v>
      </c>
      <c r="I479" s="31">
        <f t="shared" si="3"/>
        <v>0.3529411765</v>
      </c>
    </row>
    <row r="480" ht="22.5" customHeight="1">
      <c r="A480" s="35">
        <v>45912.0</v>
      </c>
      <c r="B480" s="21" t="s">
        <v>120</v>
      </c>
      <c r="C480" s="21" t="s">
        <v>221</v>
      </c>
      <c r="D480" s="21" t="s">
        <v>222</v>
      </c>
      <c r="E480" s="21">
        <v>4.7</v>
      </c>
      <c r="F480" s="21">
        <v>6.7</v>
      </c>
      <c r="G480" s="30">
        <f t="shared" si="1"/>
        <v>5.7</v>
      </c>
      <c r="H480" s="30">
        <f t="shared" si="4"/>
        <v>6.2</v>
      </c>
      <c r="I480" s="31">
        <f t="shared" si="3"/>
        <v>0.350877193</v>
      </c>
    </row>
    <row r="481" ht="22.5" customHeight="1">
      <c r="A481" s="35">
        <v>45912.0</v>
      </c>
      <c r="B481" s="21" t="s">
        <v>120</v>
      </c>
      <c r="C481" s="21" t="s">
        <v>223</v>
      </c>
      <c r="D481" s="21" t="s">
        <v>222</v>
      </c>
      <c r="E481" s="21">
        <v>3.62</v>
      </c>
      <c r="F481" s="21">
        <v>5.65</v>
      </c>
      <c r="G481" s="30">
        <f t="shared" si="1"/>
        <v>4.635</v>
      </c>
      <c r="H481" s="30">
        <f t="shared" si="4"/>
        <v>5.1425</v>
      </c>
      <c r="I481" s="31">
        <f t="shared" si="3"/>
        <v>0.4379719525</v>
      </c>
    </row>
    <row r="482" ht="22.5" customHeight="1">
      <c r="A482" s="35">
        <v>45912.0</v>
      </c>
      <c r="B482" s="21" t="s">
        <v>120</v>
      </c>
      <c r="C482" s="21" t="s">
        <v>224</v>
      </c>
      <c r="D482" s="21" t="s">
        <v>222</v>
      </c>
      <c r="E482" s="21">
        <v>3.6</v>
      </c>
      <c r="F482" s="21">
        <v>5.0</v>
      </c>
      <c r="G482" s="30">
        <f t="shared" si="1"/>
        <v>4.3</v>
      </c>
      <c r="H482" s="30">
        <f t="shared" si="4"/>
        <v>4.65</v>
      </c>
      <c r="I482" s="31">
        <f t="shared" si="3"/>
        <v>0.3255813953</v>
      </c>
    </row>
    <row r="483" ht="22.5" customHeight="1">
      <c r="A483" s="35">
        <v>45912.0</v>
      </c>
      <c r="B483" s="21" t="s">
        <v>120</v>
      </c>
      <c r="C483" s="21" t="s">
        <v>225</v>
      </c>
      <c r="D483" s="21" t="s">
        <v>222</v>
      </c>
      <c r="E483" s="21">
        <v>3.0</v>
      </c>
      <c r="F483" s="21">
        <v>4.45</v>
      </c>
      <c r="G483" s="30">
        <f t="shared" si="1"/>
        <v>3.725</v>
      </c>
      <c r="H483" s="30">
        <f t="shared" si="4"/>
        <v>4.0875</v>
      </c>
      <c r="I483" s="31">
        <f t="shared" si="3"/>
        <v>0.389261745</v>
      </c>
    </row>
    <row r="484" ht="22.5" customHeight="1">
      <c r="A484" s="35">
        <v>45912.0</v>
      </c>
      <c r="B484" s="21" t="s">
        <v>120</v>
      </c>
      <c r="C484" s="21" t="s">
        <v>226</v>
      </c>
      <c r="D484" s="21" t="s">
        <v>222</v>
      </c>
      <c r="E484" s="21">
        <v>3.0</v>
      </c>
      <c r="F484" s="21">
        <v>4.07</v>
      </c>
      <c r="G484" s="30">
        <f t="shared" si="1"/>
        <v>3.535</v>
      </c>
      <c r="H484" s="30">
        <f t="shared" si="4"/>
        <v>3.8025</v>
      </c>
      <c r="I484" s="31">
        <f t="shared" si="3"/>
        <v>0.3026874116</v>
      </c>
    </row>
    <row r="485" ht="22.5" customHeight="1">
      <c r="A485" s="35">
        <v>45912.0</v>
      </c>
      <c r="B485" s="21" t="s">
        <v>120</v>
      </c>
      <c r="C485" s="21" t="s">
        <v>227</v>
      </c>
      <c r="D485" s="21" t="s">
        <v>222</v>
      </c>
      <c r="E485" s="21">
        <v>2.5</v>
      </c>
      <c r="F485" s="21">
        <v>3.69</v>
      </c>
      <c r="G485" s="30">
        <f t="shared" si="1"/>
        <v>3.095</v>
      </c>
      <c r="H485" s="30">
        <f t="shared" si="4"/>
        <v>3.3925</v>
      </c>
      <c r="I485" s="31">
        <f t="shared" si="3"/>
        <v>0.3844911147</v>
      </c>
    </row>
    <row r="486" ht="22.5" customHeight="1">
      <c r="A486" s="35">
        <v>45912.0</v>
      </c>
      <c r="B486" s="21" t="s">
        <v>120</v>
      </c>
      <c r="C486" s="21" t="s">
        <v>228</v>
      </c>
      <c r="D486" s="21" t="s">
        <v>222</v>
      </c>
      <c r="E486" s="21">
        <v>2.1</v>
      </c>
      <c r="F486" s="21">
        <v>3.46</v>
      </c>
      <c r="G486" s="30">
        <f t="shared" si="1"/>
        <v>2.78</v>
      </c>
      <c r="H486" s="30">
        <f t="shared" si="4"/>
        <v>3.12</v>
      </c>
      <c r="I486" s="31">
        <f t="shared" si="3"/>
        <v>0.4892086331</v>
      </c>
    </row>
    <row r="487" ht="22.5" customHeight="1">
      <c r="A487" s="35">
        <v>45912.0</v>
      </c>
      <c r="B487" s="21" t="s">
        <v>120</v>
      </c>
      <c r="C487" s="21" t="s">
        <v>229</v>
      </c>
      <c r="D487" s="21" t="s">
        <v>222</v>
      </c>
      <c r="E487" s="21">
        <v>2.15</v>
      </c>
      <c r="F487" s="21">
        <v>3.29</v>
      </c>
      <c r="G487" s="30">
        <f t="shared" si="1"/>
        <v>2.72</v>
      </c>
      <c r="H487" s="30">
        <f t="shared" si="4"/>
        <v>3.005</v>
      </c>
      <c r="I487" s="31">
        <f t="shared" si="3"/>
        <v>0.4191176471</v>
      </c>
    </row>
    <row r="488" ht="22.5" customHeight="1">
      <c r="A488" s="35">
        <v>45912.0</v>
      </c>
      <c r="B488" s="21" t="s">
        <v>129</v>
      </c>
      <c r="C488" s="21" t="s">
        <v>221</v>
      </c>
      <c r="D488" s="21" t="s">
        <v>222</v>
      </c>
      <c r="E488" s="21">
        <v>4.0</v>
      </c>
      <c r="F488" s="21">
        <v>6.7</v>
      </c>
      <c r="G488" s="30">
        <f t="shared" si="1"/>
        <v>5.35</v>
      </c>
      <c r="H488" s="30">
        <f t="shared" si="4"/>
        <v>6.025</v>
      </c>
      <c r="I488" s="31">
        <f t="shared" si="3"/>
        <v>0.5046728972</v>
      </c>
    </row>
    <row r="489" ht="22.5" customHeight="1">
      <c r="A489" s="35">
        <v>45912.0</v>
      </c>
      <c r="B489" s="21" t="s">
        <v>129</v>
      </c>
      <c r="C489" s="21" t="s">
        <v>223</v>
      </c>
      <c r="D489" s="21" t="s">
        <v>222</v>
      </c>
      <c r="E489" s="21">
        <v>3.52</v>
      </c>
      <c r="F489" s="21">
        <v>5.15</v>
      </c>
      <c r="G489" s="30">
        <f t="shared" si="1"/>
        <v>4.335</v>
      </c>
      <c r="H489" s="30">
        <f t="shared" si="4"/>
        <v>4.7425</v>
      </c>
      <c r="I489" s="31">
        <f t="shared" si="3"/>
        <v>0.3760092272</v>
      </c>
    </row>
    <row r="490" ht="22.5" customHeight="1">
      <c r="A490" s="35">
        <v>45912.0</v>
      </c>
      <c r="B490" s="21" t="s">
        <v>129</v>
      </c>
      <c r="C490" s="21" t="s">
        <v>224</v>
      </c>
      <c r="D490" s="21" t="s">
        <v>222</v>
      </c>
      <c r="E490" s="21">
        <v>3.0</v>
      </c>
      <c r="F490" s="21">
        <v>4.7</v>
      </c>
      <c r="G490" s="30">
        <f t="shared" si="1"/>
        <v>3.85</v>
      </c>
      <c r="H490" s="30">
        <f t="shared" si="4"/>
        <v>4.275</v>
      </c>
      <c r="I490" s="31">
        <f t="shared" si="3"/>
        <v>0.4415584416</v>
      </c>
    </row>
    <row r="491" ht="22.5" customHeight="1">
      <c r="A491" s="35">
        <v>45912.0</v>
      </c>
      <c r="B491" s="21" t="s">
        <v>129</v>
      </c>
      <c r="C491" s="21" t="s">
        <v>225</v>
      </c>
      <c r="D491" s="21" t="s">
        <v>222</v>
      </c>
      <c r="E491" s="21">
        <v>3.1</v>
      </c>
      <c r="F491" s="21">
        <v>4.4</v>
      </c>
      <c r="G491" s="30">
        <f t="shared" si="1"/>
        <v>3.75</v>
      </c>
      <c r="H491" s="30">
        <f t="shared" si="4"/>
        <v>4.075</v>
      </c>
      <c r="I491" s="31">
        <f t="shared" si="3"/>
        <v>0.3466666667</v>
      </c>
    </row>
    <row r="492" ht="22.5" customHeight="1">
      <c r="A492" s="35">
        <v>45912.0</v>
      </c>
      <c r="B492" s="21" t="s">
        <v>129</v>
      </c>
      <c r="C492" s="21" t="s">
        <v>226</v>
      </c>
      <c r="D492" s="21" t="s">
        <v>222</v>
      </c>
      <c r="E492" s="21">
        <v>2.65</v>
      </c>
      <c r="F492" s="21">
        <v>4.15</v>
      </c>
      <c r="G492" s="30">
        <f t="shared" si="1"/>
        <v>3.4</v>
      </c>
      <c r="H492" s="30">
        <f t="shared" si="4"/>
        <v>3.775</v>
      </c>
      <c r="I492" s="31">
        <f t="shared" si="3"/>
        <v>0.4411764706</v>
      </c>
    </row>
    <row r="493" ht="22.5" customHeight="1">
      <c r="A493" s="35">
        <v>45912.0</v>
      </c>
      <c r="B493" s="21" t="s">
        <v>129</v>
      </c>
      <c r="C493" s="21" t="s">
        <v>227</v>
      </c>
      <c r="D493" s="21" t="s">
        <v>222</v>
      </c>
      <c r="E493" s="21">
        <v>2.2</v>
      </c>
      <c r="F493" s="21">
        <v>3.7</v>
      </c>
      <c r="G493" s="30">
        <f t="shared" si="1"/>
        <v>2.95</v>
      </c>
      <c r="H493" s="30">
        <f t="shared" si="4"/>
        <v>3.325</v>
      </c>
      <c r="I493" s="31">
        <f t="shared" si="3"/>
        <v>0.5084745763</v>
      </c>
    </row>
    <row r="494" ht="22.5" customHeight="1">
      <c r="A494" s="35">
        <v>45912.0</v>
      </c>
      <c r="B494" s="21" t="s">
        <v>129</v>
      </c>
      <c r="C494" s="21" t="s">
        <v>228</v>
      </c>
      <c r="D494" s="21" t="s">
        <v>222</v>
      </c>
      <c r="E494" s="21">
        <v>2.2</v>
      </c>
      <c r="F494" s="21">
        <v>3.41</v>
      </c>
      <c r="G494" s="30">
        <f t="shared" si="1"/>
        <v>2.805</v>
      </c>
      <c r="H494" s="30">
        <f t="shared" si="4"/>
        <v>3.1075</v>
      </c>
      <c r="I494" s="31">
        <f t="shared" si="3"/>
        <v>0.431372549</v>
      </c>
    </row>
    <row r="495" ht="22.5" customHeight="1">
      <c r="A495" s="35">
        <v>45912.0</v>
      </c>
      <c r="B495" s="21" t="s">
        <v>129</v>
      </c>
      <c r="C495" s="21" t="s">
        <v>229</v>
      </c>
      <c r="D495" s="21" t="s">
        <v>222</v>
      </c>
      <c r="E495" s="21">
        <v>1.76</v>
      </c>
      <c r="F495" s="21">
        <v>3.05</v>
      </c>
      <c r="G495" s="30">
        <f t="shared" si="1"/>
        <v>2.405</v>
      </c>
      <c r="H495" s="30">
        <f t="shared" si="4"/>
        <v>2.7275</v>
      </c>
      <c r="I495" s="31">
        <f t="shared" si="3"/>
        <v>0.5363825364</v>
      </c>
    </row>
    <row r="496" ht="22.5" customHeight="1">
      <c r="A496" s="35">
        <v>45919.0</v>
      </c>
      <c r="B496" s="21" t="s">
        <v>136</v>
      </c>
      <c r="C496" s="21"/>
      <c r="D496" s="21" t="s">
        <v>210</v>
      </c>
      <c r="E496" s="21">
        <v>1.1</v>
      </c>
      <c r="F496" s="21">
        <v>1.33</v>
      </c>
      <c r="G496" s="30">
        <f t="shared" si="1"/>
        <v>1.215</v>
      </c>
      <c r="H496" s="30">
        <f t="shared" si="4"/>
        <v>1.2725</v>
      </c>
      <c r="I496" s="31">
        <f t="shared" si="3"/>
        <v>0.1893004115</v>
      </c>
    </row>
    <row r="497" ht="22.5" customHeight="1">
      <c r="A497" s="35">
        <v>45919.0</v>
      </c>
      <c r="B497" s="21" t="s">
        <v>136</v>
      </c>
      <c r="C497" s="21"/>
      <c r="D497" s="21" t="s">
        <v>211</v>
      </c>
      <c r="E497" s="21">
        <v>1.34</v>
      </c>
      <c r="F497" s="21">
        <v>1.53</v>
      </c>
      <c r="G497" s="30">
        <f t="shared" si="1"/>
        <v>1.435</v>
      </c>
      <c r="H497" s="30">
        <f t="shared" si="4"/>
        <v>1.4825</v>
      </c>
      <c r="I497" s="31">
        <f t="shared" si="3"/>
        <v>0.1324041812</v>
      </c>
    </row>
    <row r="498" ht="22.5" customHeight="1">
      <c r="A498" s="35">
        <v>45919.0</v>
      </c>
      <c r="B498" s="21" t="s">
        <v>136</v>
      </c>
      <c r="C498" s="21"/>
      <c r="D498" s="21" t="s">
        <v>212</v>
      </c>
      <c r="E498" s="21">
        <v>1.56</v>
      </c>
      <c r="F498" s="21">
        <v>1.77</v>
      </c>
      <c r="G498" s="30">
        <f t="shared" si="1"/>
        <v>1.665</v>
      </c>
      <c r="H498" s="30">
        <f t="shared" si="4"/>
        <v>1.7175</v>
      </c>
      <c r="I498" s="31">
        <f t="shared" si="3"/>
        <v>0.1261261261</v>
      </c>
    </row>
    <row r="499" ht="22.5" customHeight="1">
      <c r="A499" s="35">
        <v>45919.0</v>
      </c>
      <c r="B499" s="21" t="s">
        <v>139</v>
      </c>
      <c r="C499" s="21"/>
      <c r="D499" s="21" t="s">
        <v>214</v>
      </c>
      <c r="E499" s="21">
        <v>1.71</v>
      </c>
      <c r="F499" s="21">
        <v>1.9</v>
      </c>
      <c r="G499" s="30">
        <f t="shared" si="1"/>
        <v>1.805</v>
      </c>
      <c r="H499" s="30">
        <f t="shared" si="4"/>
        <v>1.8525</v>
      </c>
      <c r="I499" s="31">
        <f t="shared" si="3"/>
        <v>0.1052631579</v>
      </c>
    </row>
    <row r="500" ht="22.5" customHeight="1">
      <c r="A500" s="35">
        <v>45919.0</v>
      </c>
      <c r="B500" s="21" t="s">
        <v>139</v>
      </c>
      <c r="C500" s="21"/>
      <c r="D500" s="21" t="s">
        <v>215</v>
      </c>
      <c r="E500" s="21">
        <v>2.01</v>
      </c>
      <c r="F500" s="21">
        <v>2.01</v>
      </c>
      <c r="G500" s="30">
        <f t="shared" si="1"/>
        <v>2.01</v>
      </c>
      <c r="H500" s="30">
        <f t="shared" si="4"/>
        <v>2.01</v>
      </c>
      <c r="I500" s="31">
        <f t="shared" si="3"/>
        <v>0</v>
      </c>
    </row>
    <row r="501" ht="22.5" customHeight="1">
      <c r="A501" s="35">
        <v>45919.0</v>
      </c>
      <c r="B501" s="21" t="s">
        <v>139</v>
      </c>
      <c r="C501" s="21"/>
      <c r="D501" s="21" t="s">
        <v>216</v>
      </c>
      <c r="E501" s="21">
        <v>1.31</v>
      </c>
      <c r="F501" s="21">
        <v>1.68</v>
      </c>
      <c r="G501" s="30">
        <f t="shared" si="1"/>
        <v>1.495</v>
      </c>
      <c r="H501" s="30">
        <f t="shared" si="4"/>
        <v>1.5875</v>
      </c>
      <c r="I501" s="31">
        <f t="shared" si="3"/>
        <v>0.2474916388</v>
      </c>
    </row>
    <row r="502" ht="22.5" customHeight="1">
      <c r="A502" s="35">
        <v>45919.0</v>
      </c>
      <c r="B502" s="21" t="s">
        <v>133</v>
      </c>
      <c r="C502" s="21"/>
      <c r="D502" s="21" t="s">
        <v>217</v>
      </c>
      <c r="E502" s="21">
        <v>3800.0</v>
      </c>
      <c r="F502" s="21">
        <v>4400.0</v>
      </c>
      <c r="G502" s="30">
        <f t="shared" si="1"/>
        <v>4100</v>
      </c>
      <c r="H502" s="30">
        <f t="shared" si="4"/>
        <v>4250</v>
      </c>
      <c r="I502" s="31">
        <f t="shared" si="3"/>
        <v>0.1463414634</v>
      </c>
    </row>
    <row r="503" ht="22.5" customHeight="1">
      <c r="A503" s="35">
        <v>45919.0</v>
      </c>
      <c r="B503" s="21" t="s">
        <v>133</v>
      </c>
      <c r="C503" s="21"/>
      <c r="D503" s="21" t="s">
        <v>218</v>
      </c>
      <c r="E503" s="21">
        <v>2500.0</v>
      </c>
      <c r="F503" s="21">
        <v>3500.0</v>
      </c>
      <c r="G503" s="30">
        <f t="shared" si="1"/>
        <v>3000</v>
      </c>
      <c r="H503" s="30">
        <f t="shared" si="4"/>
        <v>3250</v>
      </c>
      <c r="I503" s="31">
        <f t="shared" si="3"/>
        <v>0.3333333333</v>
      </c>
    </row>
    <row r="504" ht="22.5" customHeight="1">
      <c r="A504" s="35">
        <v>45919.0</v>
      </c>
      <c r="B504" s="21" t="s">
        <v>133</v>
      </c>
      <c r="C504" s="21"/>
      <c r="D504" s="21" t="s">
        <v>219</v>
      </c>
      <c r="E504" s="21">
        <v>3000.0</v>
      </c>
      <c r="F504" s="21">
        <v>4200.0</v>
      </c>
      <c r="G504" s="30">
        <f t="shared" si="1"/>
        <v>3600</v>
      </c>
      <c r="H504" s="30">
        <f t="shared" si="4"/>
        <v>3900</v>
      </c>
      <c r="I504" s="31">
        <f t="shared" si="3"/>
        <v>0.3333333333</v>
      </c>
    </row>
    <row r="505" ht="22.5" customHeight="1">
      <c r="A505" s="35">
        <v>45919.0</v>
      </c>
      <c r="B505" s="21" t="s">
        <v>133</v>
      </c>
      <c r="C505" s="21"/>
      <c r="D505" s="21" t="s">
        <v>220</v>
      </c>
      <c r="E505" s="21">
        <v>1750.0</v>
      </c>
      <c r="F505" s="21">
        <v>2500.0</v>
      </c>
      <c r="G505" s="30">
        <f t="shared" si="1"/>
        <v>2125</v>
      </c>
      <c r="H505" s="30">
        <f t="shared" si="4"/>
        <v>2312.5</v>
      </c>
      <c r="I505" s="31">
        <f t="shared" si="3"/>
        <v>0.3529411765</v>
      </c>
    </row>
    <row r="506" ht="22.5" customHeight="1">
      <c r="A506" s="35">
        <v>45919.0</v>
      </c>
      <c r="B506" s="21" t="s">
        <v>120</v>
      </c>
      <c r="C506" s="21" t="s">
        <v>221</v>
      </c>
      <c r="D506" s="21" t="s">
        <v>222</v>
      </c>
      <c r="E506" s="21">
        <v>4.7</v>
      </c>
      <c r="F506" s="21">
        <v>6.5</v>
      </c>
      <c r="G506" s="30">
        <f t="shared" si="1"/>
        <v>5.6</v>
      </c>
      <c r="H506" s="30">
        <f t="shared" si="4"/>
        <v>6.05</v>
      </c>
      <c r="I506" s="31">
        <f t="shared" si="3"/>
        <v>0.3214285714</v>
      </c>
    </row>
    <row r="507" ht="22.5" customHeight="1">
      <c r="A507" s="35">
        <v>45919.0</v>
      </c>
      <c r="B507" s="21" t="s">
        <v>120</v>
      </c>
      <c r="C507" s="21" t="s">
        <v>223</v>
      </c>
      <c r="D507" s="21" t="s">
        <v>222</v>
      </c>
      <c r="E507" s="21">
        <v>3.45</v>
      </c>
      <c r="F507" s="21">
        <v>5.4</v>
      </c>
      <c r="G507" s="30">
        <f t="shared" si="1"/>
        <v>4.425</v>
      </c>
      <c r="H507" s="30">
        <f t="shared" si="4"/>
        <v>4.9125</v>
      </c>
      <c r="I507" s="31">
        <f t="shared" si="3"/>
        <v>0.4406779661</v>
      </c>
    </row>
    <row r="508" ht="22.5" customHeight="1">
      <c r="A508" s="35">
        <v>45919.0</v>
      </c>
      <c r="B508" s="21" t="s">
        <v>120</v>
      </c>
      <c r="C508" s="21" t="s">
        <v>224</v>
      </c>
      <c r="D508" s="21" t="s">
        <v>222</v>
      </c>
      <c r="E508" s="21">
        <v>3.6</v>
      </c>
      <c r="F508" s="21">
        <v>5.0</v>
      </c>
      <c r="G508" s="30">
        <f t="shared" si="1"/>
        <v>4.3</v>
      </c>
      <c r="H508" s="30">
        <f t="shared" si="4"/>
        <v>4.65</v>
      </c>
      <c r="I508" s="31">
        <f t="shared" si="3"/>
        <v>0.3255813953</v>
      </c>
    </row>
    <row r="509" ht="22.5" customHeight="1">
      <c r="A509" s="35">
        <v>45919.0</v>
      </c>
      <c r="B509" s="21" t="s">
        <v>120</v>
      </c>
      <c r="C509" s="21" t="s">
        <v>225</v>
      </c>
      <c r="D509" s="21" t="s">
        <v>222</v>
      </c>
      <c r="E509" s="21">
        <v>3.0</v>
      </c>
      <c r="F509" s="21">
        <v>4.47</v>
      </c>
      <c r="G509" s="30">
        <f t="shared" si="1"/>
        <v>3.735</v>
      </c>
      <c r="H509" s="30">
        <f t="shared" si="4"/>
        <v>4.1025</v>
      </c>
      <c r="I509" s="31">
        <f t="shared" si="3"/>
        <v>0.3935742972</v>
      </c>
    </row>
    <row r="510" ht="22.5" customHeight="1">
      <c r="A510" s="35">
        <v>45919.0</v>
      </c>
      <c r="B510" s="21" t="s">
        <v>120</v>
      </c>
      <c r="C510" s="21" t="s">
        <v>226</v>
      </c>
      <c r="D510" s="21" t="s">
        <v>222</v>
      </c>
      <c r="E510" s="21">
        <v>3.0</v>
      </c>
      <c r="F510" s="21">
        <v>4.02</v>
      </c>
      <c r="G510" s="30">
        <f t="shared" si="1"/>
        <v>3.51</v>
      </c>
      <c r="H510" s="30">
        <f t="shared" si="4"/>
        <v>3.765</v>
      </c>
      <c r="I510" s="31">
        <f t="shared" si="3"/>
        <v>0.2905982906</v>
      </c>
    </row>
    <row r="511" ht="22.5" customHeight="1">
      <c r="A511" s="35">
        <v>45919.0</v>
      </c>
      <c r="B511" s="21" t="s">
        <v>120</v>
      </c>
      <c r="C511" s="21" t="s">
        <v>227</v>
      </c>
      <c r="D511" s="21" t="s">
        <v>222</v>
      </c>
      <c r="E511" s="21">
        <v>2.5</v>
      </c>
      <c r="F511" s="21">
        <v>3.71</v>
      </c>
      <c r="G511" s="30">
        <f t="shared" si="1"/>
        <v>3.105</v>
      </c>
      <c r="H511" s="30">
        <f t="shared" si="4"/>
        <v>3.4075</v>
      </c>
      <c r="I511" s="31">
        <f t="shared" si="3"/>
        <v>0.3896940419</v>
      </c>
    </row>
    <row r="512" ht="22.5" customHeight="1">
      <c r="A512" s="35">
        <v>45919.0</v>
      </c>
      <c r="B512" s="21" t="s">
        <v>120</v>
      </c>
      <c r="C512" s="21" t="s">
        <v>228</v>
      </c>
      <c r="D512" s="21" t="s">
        <v>222</v>
      </c>
      <c r="E512" s="21">
        <v>2.1</v>
      </c>
      <c r="F512" s="21">
        <v>3.46</v>
      </c>
      <c r="G512" s="30">
        <f t="shared" si="1"/>
        <v>2.78</v>
      </c>
      <c r="H512" s="30">
        <f t="shared" si="4"/>
        <v>3.12</v>
      </c>
      <c r="I512" s="31">
        <f t="shared" si="3"/>
        <v>0.4892086331</v>
      </c>
    </row>
    <row r="513" ht="22.5" customHeight="1">
      <c r="A513" s="35">
        <v>45919.0</v>
      </c>
      <c r="B513" s="21" t="s">
        <v>120</v>
      </c>
      <c r="C513" s="21" t="s">
        <v>229</v>
      </c>
      <c r="D513" s="21" t="s">
        <v>222</v>
      </c>
      <c r="E513" s="21">
        <v>2.1</v>
      </c>
      <c r="F513" s="21">
        <v>3.29</v>
      </c>
      <c r="G513" s="30">
        <f t="shared" si="1"/>
        <v>2.695</v>
      </c>
      <c r="H513" s="30">
        <f t="shared" si="4"/>
        <v>2.9925</v>
      </c>
      <c r="I513" s="31">
        <f t="shared" si="3"/>
        <v>0.4415584416</v>
      </c>
    </row>
    <row r="514" ht="22.5" customHeight="1">
      <c r="A514" s="35">
        <v>45919.0</v>
      </c>
      <c r="B514" s="21" t="s">
        <v>129</v>
      </c>
      <c r="C514" s="21" t="s">
        <v>221</v>
      </c>
      <c r="D514" s="21" t="s">
        <v>222</v>
      </c>
      <c r="E514" s="21">
        <v>4.0</v>
      </c>
      <c r="F514" s="21">
        <v>6.0</v>
      </c>
      <c r="G514" s="30">
        <f t="shared" si="1"/>
        <v>5</v>
      </c>
      <c r="H514" s="30">
        <f t="shared" si="4"/>
        <v>5.5</v>
      </c>
      <c r="I514" s="31">
        <f t="shared" si="3"/>
        <v>0.4</v>
      </c>
    </row>
    <row r="515" ht="22.5" customHeight="1">
      <c r="A515" s="35">
        <v>45919.0</v>
      </c>
      <c r="B515" s="21" t="s">
        <v>129</v>
      </c>
      <c r="C515" s="21" t="s">
        <v>223</v>
      </c>
      <c r="D515" s="21" t="s">
        <v>222</v>
      </c>
      <c r="E515" s="21">
        <v>3.52</v>
      </c>
      <c r="F515" s="21">
        <v>5.15</v>
      </c>
      <c r="G515" s="30">
        <f t="shared" si="1"/>
        <v>4.335</v>
      </c>
      <c r="H515" s="30">
        <f t="shared" si="4"/>
        <v>4.7425</v>
      </c>
      <c r="I515" s="31">
        <f t="shared" si="3"/>
        <v>0.3760092272</v>
      </c>
    </row>
    <row r="516" ht="22.5" customHeight="1">
      <c r="A516" s="35">
        <v>45919.0</v>
      </c>
      <c r="B516" s="21" t="s">
        <v>129</v>
      </c>
      <c r="C516" s="21" t="s">
        <v>224</v>
      </c>
      <c r="D516" s="21" t="s">
        <v>222</v>
      </c>
      <c r="E516" s="21">
        <v>3.0</v>
      </c>
      <c r="F516" s="21">
        <v>4.68</v>
      </c>
      <c r="G516" s="30">
        <f t="shared" si="1"/>
        <v>3.84</v>
      </c>
      <c r="H516" s="30">
        <f t="shared" si="4"/>
        <v>4.26</v>
      </c>
      <c r="I516" s="31">
        <f t="shared" si="3"/>
        <v>0.4375</v>
      </c>
    </row>
    <row r="517" ht="22.5" customHeight="1">
      <c r="A517" s="35">
        <v>45919.0</v>
      </c>
      <c r="B517" s="21" t="s">
        <v>129</v>
      </c>
      <c r="C517" s="21" t="s">
        <v>225</v>
      </c>
      <c r="D517" s="21" t="s">
        <v>222</v>
      </c>
      <c r="E517" s="21">
        <v>3.1</v>
      </c>
      <c r="F517" s="21">
        <v>4.41</v>
      </c>
      <c r="G517" s="30">
        <f t="shared" si="1"/>
        <v>3.755</v>
      </c>
      <c r="H517" s="30">
        <f t="shared" si="4"/>
        <v>4.0825</v>
      </c>
      <c r="I517" s="31">
        <f t="shared" si="3"/>
        <v>0.3488681758</v>
      </c>
    </row>
    <row r="518" ht="22.5" customHeight="1">
      <c r="A518" s="35">
        <v>45919.0</v>
      </c>
      <c r="B518" s="21" t="s">
        <v>129</v>
      </c>
      <c r="C518" s="21" t="s">
        <v>226</v>
      </c>
      <c r="D518" s="21" t="s">
        <v>222</v>
      </c>
      <c r="E518" s="21">
        <v>2.65</v>
      </c>
      <c r="F518" s="21">
        <v>4.1</v>
      </c>
      <c r="G518" s="30">
        <f t="shared" si="1"/>
        <v>3.375</v>
      </c>
      <c r="H518" s="30">
        <f t="shared" si="4"/>
        <v>3.7375</v>
      </c>
      <c r="I518" s="31">
        <f t="shared" si="3"/>
        <v>0.4296296296</v>
      </c>
    </row>
    <row r="519" ht="22.5" customHeight="1">
      <c r="A519" s="35">
        <v>45919.0</v>
      </c>
      <c r="B519" s="21" t="s">
        <v>129</v>
      </c>
      <c r="C519" s="21" t="s">
        <v>227</v>
      </c>
      <c r="D519" s="21" t="s">
        <v>222</v>
      </c>
      <c r="E519" s="21">
        <v>2.2</v>
      </c>
      <c r="F519" s="21">
        <v>3.7</v>
      </c>
      <c r="G519" s="30">
        <f t="shared" si="1"/>
        <v>2.95</v>
      </c>
      <c r="H519" s="30">
        <f t="shared" si="4"/>
        <v>3.325</v>
      </c>
      <c r="I519" s="31">
        <f t="shared" si="3"/>
        <v>0.5084745763</v>
      </c>
    </row>
    <row r="520" ht="22.5" customHeight="1">
      <c r="A520" s="35">
        <v>45919.0</v>
      </c>
      <c r="B520" s="21" t="s">
        <v>129</v>
      </c>
      <c r="C520" s="21" t="s">
        <v>228</v>
      </c>
      <c r="D520" s="21" t="s">
        <v>222</v>
      </c>
      <c r="E520" s="21">
        <v>2.2</v>
      </c>
      <c r="F520" s="21">
        <v>3.45</v>
      </c>
      <c r="G520" s="30">
        <f t="shared" si="1"/>
        <v>2.825</v>
      </c>
      <c r="H520" s="30">
        <f t="shared" si="4"/>
        <v>3.1375</v>
      </c>
      <c r="I520" s="31">
        <f t="shared" si="3"/>
        <v>0.4424778761</v>
      </c>
    </row>
    <row r="521" ht="22.5" customHeight="1">
      <c r="A521" s="35">
        <v>45919.0</v>
      </c>
      <c r="B521" s="21" t="s">
        <v>129</v>
      </c>
      <c r="C521" s="21" t="s">
        <v>229</v>
      </c>
      <c r="D521" s="21" t="s">
        <v>222</v>
      </c>
      <c r="E521" s="21">
        <v>1.76</v>
      </c>
      <c r="F521" s="21">
        <v>3.05</v>
      </c>
      <c r="G521" s="30">
        <f t="shared" si="1"/>
        <v>2.405</v>
      </c>
      <c r="H521" s="30">
        <f t="shared" si="4"/>
        <v>2.7275</v>
      </c>
      <c r="I521" s="31">
        <f t="shared" si="3"/>
        <v>0.5363825364</v>
      </c>
    </row>
    <row r="522" ht="22.5" customHeight="1">
      <c r="A522" s="35">
        <v>45926.0</v>
      </c>
      <c r="B522" s="21" t="s">
        <v>136</v>
      </c>
      <c r="C522" s="21"/>
      <c r="D522" s="21" t="s">
        <v>210</v>
      </c>
      <c r="E522" s="21">
        <v>1.1</v>
      </c>
      <c r="F522" s="21">
        <v>1.33</v>
      </c>
      <c r="G522" s="30">
        <f t="shared" si="1"/>
        <v>1.215</v>
      </c>
      <c r="H522" s="30">
        <f t="shared" si="4"/>
        <v>1.2725</v>
      </c>
      <c r="I522" s="31">
        <f t="shared" si="3"/>
        <v>0.1893004115</v>
      </c>
    </row>
    <row r="523" ht="22.5" customHeight="1">
      <c r="A523" s="35">
        <v>45926.0</v>
      </c>
      <c r="B523" s="21" t="s">
        <v>136</v>
      </c>
      <c r="C523" s="21"/>
      <c r="D523" s="21" t="s">
        <v>211</v>
      </c>
      <c r="E523" s="21">
        <v>1.34</v>
      </c>
      <c r="F523" s="21">
        <v>1.53</v>
      </c>
      <c r="G523" s="30">
        <f t="shared" si="1"/>
        <v>1.435</v>
      </c>
      <c r="H523" s="30">
        <f t="shared" si="4"/>
        <v>1.4825</v>
      </c>
      <c r="I523" s="31">
        <f t="shared" si="3"/>
        <v>0.1324041812</v>
      </c>
    </row>
    <row r="524" ht="22.5" customHeight="1">
      <c r="A524" s="35">
        <v>45926.0</v>
      </c>
      <c r="B524" s="21" t="s">
        <v>136</v>
      </c>
      <c r="C524" s="21"/>
      <c r="D524" s="21" t="s">
        <v>212</v>
      </c>
      <c r="E524" s="21">
        <v>1.56</v>
      </c>
      <c r="F524" s="21">
        <v>1.77</v>
      </c>
      <c r="G524" s="30">
        <f t="shared" si="1"/>
        <v>1.665</v>
      </c>
      <c r="H524" s="30">
        <f t="shared" si="4"/>
        <v>1.7175</v>
      </c>
      <c r="I524" s="31">
        <f t="shared" si="3"/>
        <v>0.1261261261</v>
      </c>
    </row>
    <row r="525" ht="22.5" customHeight="1">
      <c r="A525" s="35">
        <v>45926.0</v>
      </c>
      <c r="B525" s="21" t="s">
        <v>139</v>
      </c>
      <c r="C525" s="21"/>
      <c r="D525" s="21" t="s">
        <v>214</v>
      </c>
      <c r="E525" s="21">
        <v>1.71</v>
      </c>
      <c r="F525" s="21">
        <v>1.88</v>
      </c>
      <c r="G525" s="30">
        <f t="shared" si="1"/>
        <v>1.795</v>
      </c>
      <c r="H525" s="30">
        <f t="shared" si="4"/>
        <v>1.8375</v>
      </c>
      <c r="I525" s="31">
        <f t="shared" si="3"/>
        <v>0.09470752089</v>
      </c>
    </row>
    <row r="526" ht="22.5" customHeight="1">
      <c r="A526" s="35">
        <v>45926.0</v>
      </c>
      <c r="B526" s="21" t="s">
        <v>139</v>
      </c>
      <c r="C526" s="21"/>
      <c r="D526" s="21" t="s">
        <v>215</v>
      </c>
      <c r="E526" s="21">
        <v>1.94</v>
      </c>
      <c r="F526" s="21">
        <v>1.94</v>
      </c>
      <c r="G526" s="30">
        <f t="shared" si="1"/>
        <v>1.94</v>
      </c>
      <c r="H526" s="30">
        <f t="shared" si="4"/>
        <v>1.94</v>
      </c>
      <c r="I526" s="31">
        <f t="shared" si="3"/>
        <v>0</v>
      </c>
    </row>
    <row r="527" ht="22.5" customHeight="1">
      <c r="A527" s="35">
        <v>45926.0</v>
      </c>
      <c r="B527" s="21" t="s">
        <v>139</v>
      </c>
      <c r="C527" s="21"/>
      <c r="D527" s="21" t="s">
        <v>216</v>
      </c>
      <c r="E527" s="21">
        <v>1.31</v>
      </c>
      <c r="F527" s="21">
        <v>1.68</v>
      </c>
      <c r="G527" s="30">
        <f t="shared" si="1"/>
        <v>1.495</v>
      </c>
      <c r="H527" s="30">
        <f t="shared" si="4"/>
        <v>1.5875</v>
      </c>
      <c r="I527" s="31">
        <f t="shared" si="3"/>
        <v>0.2474916388</v>
      </c>
    </row>
    <row r="528" ht="22.5" customHeight="1">
      <c r="A528" s="35">
        <v>45926.0</v>
      </c>
      <c r="B528" s="21" t="s">
        <v>133</v>
      </c>
      <c r="C528" s="21"/>
      <c r="D528" s="21" t="s">
        <v>217</v>
      </c>
      <c r="E528" s="21">
        <v>3800.0</v>
      </c>
      <c r="F528" s="21">
        <v>4400.0</v>
      </c>
      <c r="G528" s="30">
        <f t="shared" si="1"/>
        <v>4100</v>
      </c>
      <c r="H528" s="30">
        <f t="shared" si="4"/>
        <v>4250</v>
      </c>
      <c r="I528" s="31">
        <f t="shared" si="3"/>
        <v>0.1463414634</v>
      </c>
    </row>
    <row r="529" ht="22.5" customHeight="1">
      <c r="A529" s="35">
        <v>45926.0</v>
      </c>
      <c r="B529" s="21" t="s">
        <v>133</v>
      </c>
      <c r="C529" s="21"/>
      <c r="D529" s="21" t="s">
        <v>218</v>
      </c>
      <c r="E529" s="21">
        <v>2500.0</v>
      </c>
      <c r="F529" s="21">
        <v>3500.0</v>
      </c>
      <c r="G529" s="30">
        <f t="shared" si="1"/>
        <v>3000</v>
      </c>
      <c r="H529" s="30">
        <f t="shared" si="4"/>
        <v>3250</v>
      </c>
      <c r="I529" s="31">
        <f t="shared" si="3"/>
        <v>0.3333333333</v>
      </c>
    </row>
    <row r="530" ht="22.5" customHeight="1">
      <c r="A530" s="35">
        <v>45926.0</v>
      </c>
      <c r="B530" s="21" t="s">
        <v>133</v>
      </c>
      <c r="C530" s="21"/>
      <c r="D530" s="21" t="s">
        <v>219</v>
      </c>
      <c r="E530" s="21">
        <v>3000.0</v>
      </c>
      <c r="F530" s="21">
        <v>4200.0</v>
      </c>
      <c r="G530" s="30">
        <f t="shared" si="1"/>
        <v>3600</v>
      </c>
      <c r="H530" s="30">
        <f t="shared" si="4"/>
        <v>3900</v>
      </c>
      <c r="I530" s="31">
        <f t="shared" si="3"/>
        <v>0.3333333333</v>
      </c>
    </row>
    <row r="531" ht="22.5" customHeight="1">
      <c r="A531" s="35">
        <v>45926.0</v>
      </c>
      <c r="B531" s="21" t="s">
        <v>133</v>
      </c>
      <c r="C531" s="21"/>
      <c r="D531" s="21" t="s">
        <v>220</v>
      </c>
      <c r="E531" s="21">
        <v>1750.0</v>
      </c>
      <c r="F531" s="21">
        <v>2500.0</v>
      </c>
      <c r="G531" s="30">
        <f t="shared" si="1"/>
        <v>2125</v>
      </c>
      <c r="H531" s="30">
        <f t="shared" si="4"/>
        <v>2312.5</v>
      </c>
      <c r="I531" s="31">
        <f t="shared" si="3"/>
        <v>0.3529411765</v>
      </c>
    </row>
    <row r="532" ht="22.5" customHeight="1">
      <c r="A532" s="35">
        <v>45926.0</v>
      </c>
      <c r="B532" s="21" t="s">
        <v>120</v>
      </c>
      <c r="C532" s="21" t="s">
        <v>221</v>
      </c>
      <c r="D532" s="21" t="s">
        <v>222</v>
      </c>
      <c r="E532" s="21">
        <v>4.7</v>
      </c>
      <c r="F532" s="21">
        <v>7.05</v>
      </c>
      <c r="G532" s="30">
        <f t="shared" si="1"/>
        <v>5.875</v>
      </c>
      <c r="H532" s="30">
        <f t="shared" si="4"/>
        <v>6.4625</v>
      </c>
      <c r="I532" s="31">
        <f t="shared" si="3"/>
        <v>0.4</v>
      </c>
    </row>
    <row r="533" ht="22.5" customHeight="1">
      <c r="A533" s="35">
        <v>45926.0</v>
      </c>
      <c r="B533" s="21" t="s">
        <v>120</v>
      </c>
      <c r="C533" s="21" t="s">
        <v>223</v>
      </c>
      <c r="D533" s="21" t="s">
        <v>222</v>
      </c>
      <c r="E533" s="21">
        <v>3.45</v>
      </c>
      <c r="F533" s="21">
        <v>6.45</v>
      </c>
      <c r="G533" s="30">
        <f t="shared" si="1"/>
        <v>4.95</v>
      </c>
      <c r="H533" s="30">
        <f t="shared" si="4"/>
        <v>5.7</v>
      </c>
      <c r="I533" s="31">
        <f t="shared" si="3"/>
        <v>0.6060606061</v>
      </c>
    </row>
    <row r="534" ht="22.5" customHeight="1">
      <c r="A534" s="35">
        <v>45926.0</v>
      </c>
      <c r="B534" s="21" t="s">
        <v>120</v>
      </c>
      <c r="C534" s="21" t="s">
        <v>224</v>
      </c>
      <c r="D534" s="21" t="s">
        <v>222</v>
      </c>
      <c r="E534" s="21">
        <v>3.6</v>
      </c>
      <c r="F534" s="21">
        <v>4.95</v>
      </c>
      <c r="G534" s="30">
        <f t="shared" si="1"/>
        <v>4.275</v>
      </c>
      <c r="H534" s="30">
        <f t="shared" si="4"/>
        <v>4.6125</v>
      </c>
      <c r="I534" s="31">
        <f t="shared" si="3"/>
        <v>0.3157894737</v>
      </c>
    </row>
    <row r="535" ht="22.5" customHeight="1">
      <c r="A535" s="35">
        <v>45926.0</v>
      </c>
      <c r="B535" s="21" t="s">
        <v>120</v>
      </c>
      <c r="C535" s="21" t="s">
        <v>225</v>
      </c>
      <c r="D535" s="21" t="s">
        <v>222</v>
      </c>
      <c r="E535" s="21">
        <v>3.0</v>
      </c>
      <c r="F535" s="21">
        <v>4.47</v>
      </c>
      <c r="G535" s="30">
        <f t="shared" si="1"/>
        <v>3.735</v>
      </c>
      <c r="H535" s="30">
        <f t="shared" si="4"/>
        <v>4.1025</v>
      </c>
      <c r="I535" s="31">
        <f t="shared" si="3"/>
        <v>0.3935742972</v>
      </c>
    </row>
    <row r="536" ht="22.5" customHeight="1">
      <c r="A536" s="35">
        <v>45926.0</v>
      </c>
      <c r="B536" s="21" t="s">
        <v>120</v>
      </c>
      <c r="C536" s="21" t="s">
        <v>226</v>
      </c>
      <c r="D536" s="21" t="s">
        <v>222</v>
      </c>
      <c r="E536" s="21">
        <v>3.0</v>
      </c>
      <c r="F536" s="21">
        <v>4.12</v>
      </c>
      <c r="G536" s="30">
        <f t="shared" si="1"/>
        <v>3.56</v>
      </c>
      <c r="H536" s="30">
        <f t="shared" si="4"/>
        <v>3.84</v>
      </c>
      <c r="I536" s="31">
        <f t="shared" si="3"/>
        <v>0.3146067416</v>
      </c>
    </row>
    <row r="537" ht="22.5" customHeight="1">
      <c r="A537" s="35">
        <v>45926.0</v>
      </c>
      <c r="B537" s="21" t="s">
        <v>120</v>
      </c>
      <c r="C537" s="21" t="s">
        <v>227</v>
      </c>
      <c r="D537" s="21" t="s">
        <v>222</v>
      </c>
      <c r="E537" s="21">
        <v>2.5</v>
      </c>
      <c r="F537" s="21">
        <v>3.87</v>
      </c>
      <c r="G537" s="30">
        <f t="shared" si="1"/>
        <v>3.185</v>
      </c>
      <c r="H537" s="30">
        <f t="shared" si="4"/>
        <v>3.5275</v>
      </c>
      <c r="I537" s="31">
        <f t="shared" si="3"/>
        <v>0.4301412873</v>
      </c>
    </row>
    <row r="538" ht="22.5" customHeight="1">
      <c r="A538" s="35">
        <v>45926.0</v>
      </c>
      <c r="B538" s="21" t="s">
        <v>120</v>
      </c>
      <c r="C538" s="21" t="s">
        <v>228</v>
      </c>
      <c r="D538" s="21" t="s">
        <v>222</v>
      </c>
      <c r="E538" s="21">
        <v>2.1</v>
      </c>
      <c r="F538" s="21">
        <v>3.41</v>
      </c>
      <c r="G538" s="30">
        <f t="shared" si="1"/>
        <v>2.755</v>
      </c>
      <c r="H538" s="30">
        <f t="shared" si="4"/>
        <v>3.0825</v>
      </c>
      <c r="I538" s="31">
        <f t="shared" si="3"/>
        <v>0.4754990926</v>
      </c>
    </row>
    <row r="539" ht="22.5" customHeight="1">
      <c r="A539" s="35">
        <v>45926.0</v>
      </c>
      <c r="B539" s="21" t="s">
        <v>120</v>
      </c>
      <c r="C539" s="21" t="s">
        <v>229</v>
      </c>
      <c r="D539" s="21" t="s">
        <v>222</v>
      </c>
      <c r="E539" s="21">
        <v>2.1</v>
      </c>
      <c r="F539" s="21">
        <v>3.17</v>
      </c>
      <c r="G539" s="30">
        <f t="shared" si="1"/>
        <v>2.635</v>
      </c>
      <c r="H539" s="30">
        <f t="shared" si="4"/>
        <v>2.9025</v>
      </c>
      <c r="I539" s="31">
        <f t="shared" si="3"/>
        <v>0.4060721063</v>
      </c>
    </row>
    <row r="540" ht="22.5" customHeight="1">
      <c r="A540" s="35">
        <v>45926.0</v>
      </c>
      <c r="B540" s="21" t="s">
        <v>129</v>
      </c>
      <c r="C540" s="21" t="s">
        <v>221</v>
      </c>
      <c r="D540" s="21" t="s">
        <v>222</v>
      </c>
      <c r="E540" s="21">
        <v>4.0</v>
      </c>
      <c r="F540" s="21">
        <v>6.4</v>
      </c>
      <c r="G540" s="30">
        <f t="shared" si="1"/>
        <v>5.2</v>
      </c>
      <c r="H540" s="30">
        <f t="shared" si="4"/>
        <v>5.8</v>
      </c>
      <c r="I540" s="31">
        <f t="shared" si="3"/>
        <v>0.4615384615</v>
      </c>
    </row>
    <row r="541" ht="22.5" customHeight="1">
      <c r="A541" s="35">
        <v>45926.0</v>
      </c>
      <c r="B541" s="21" t="s">
        <v>129</v>
      </c>
      <c r="C541" s="21" t="s">
        <v>223</v>
      </c>
      <c r="D541" s="21" t="s">
        <v>222</v>
      </c>
      <c r="E541" s="21">
        <v>3.52</v>
      </c>
      <c r="F541" s="21">
        <v>5.75</v>
      </c>
      <c r="G541" s="30">
        <f t="shared" si="1"/>
        <v>4.635</v>
      </c>
      <c r="H541" s="30">
        <f t="shared" si="4"/>
        <v>5.1925</v>
      </c>
      <c r="I541" s="31">
        <f t="shared" si="3"/>
        <v>0.4811218986</v>
      </c>
    </row>
    <row r="542" ht="22.5" customHeight="1">
      <c r="A542" s="35">
        <v>45926.0</v>
      </c>
      <c r="B542" s="21" t="s">
        <v>129</v>
      </c>
      <c r="C542" s="21" t="s">
        <v>224</v>
      </c>
      <c r="D542" s="21" t="s">
        <v>222</v>
      </c>
      <c r="E542" s="21">
        <v>3.0</v>
      </c>
      <c r="F542" s="21">
        <v>4.67</v>
      </c>
      <c r="G542" s="30">
        <f t="shared" si="1"/>
        <v>3.835</v>
      </c>
      <c r="H542" s="30">
        <f t="shared" si="4"/>
        <v>4.2525</v>
      </c>
      <c r="I542" s="31">
        <f t="shared" si="3"/>
        <v>0.4354628422</v>
      </c>
    </row>
    <row r="543" ht="22.5" customHeight="1">
      <c r="A543" s="35">
        <v>45926.0</v>
      </c>
      <c r="B543" s="21" t="s">
        <v>129</v>
      </c>
      <c r="C543" s="21" t="s">
        <v>225</v>
      </c>
      <c r="D543" s="21" t="s">
        <v>222</v>
      </c>
      <c r="E543" s="21">
        <v>3.1</v>
      </c>
      <c r="F543" s="21">
        <v>4.05</v>
      </c>
      <c r="G543" s="30">
        <f t="shared" si="1"/>
        <v>3.575</v>
      </c>
      <c r="H543" s="30">
        <f t="shared" si="4"/>
        <v>3.8125</v>
      </c>
      <c r="I543" s="31">
        <f t="shared" si="3"/>
        <v>0.2657342657</v>
      </c>
    </row>
    <row r="544" ht="22.5" customHeight="1">
      <c r="A544" s="35">
        <v>45926.0</v>
      </c>
      <c r="B544" s="21" t="s">
        <v>129</v>
      </c>
      <c r="C544" s="21" t="s">
        <v>226</v>
      </c>
      <c r="D544" s="21" t="s">
        <v>222</v>
      </c>
      <c r="E544" s="21">
        <v>2.65</v>
      </c>
      <c r="F544" s="21">
        <v>4.3</v>
      </c>
      <c r="G544" s="30">
        <f t="shared" si="1"/>
        <v>3.475</v>
      </c>
      <c r="H544" s="30">
        <f t="shared" si="4"/>
        <v>3.8875</v>
      </c>
      <c r="I544" s="31">
        <f t="shared" si="3"/>
        <v>0.4748201439</v>
      </c>
    </row>
    <row r="545" ht="22.5" customHeight="1">
      <c r="A545" s="35">
        <v>45926.0</v>
      </c>
      <c r="B545" s="21" t="s">
        <v>129</v>
      </c>
      <c r="C545" s="21" t="s">
        <v>227</v>
      </c>
      <c r="D545" s="21" t="s">
        <v>222</v>
      </c>
      <c r="E545" s="21">
        <v>2.2</v>
      </c>
      <c r="F545" s="21">
        <v>3.3</v>
      </c>
      <c r="G545" s="30">
        <f t="shared" si="1"/>
        <v>2.75</v>
      </c>
      <c r="H545" s="30">
        <f t="shared" si="4"/>
        <v>3.025</v>
      </c>
      <c r="I545" s="31">
        <f t="shared" si="3"/>
        <v>0.4</v>
      </c>
    </row>
    <row r="546" ht="22.5" customHeight="1">
      <c r="A546" s="35">
        <v>45926.0</v>
      </c>
      <c r="B546" s="21" t="s">
        <v>129</v>
      </c>
      <c r="C546" s="21" t="s">
        <v>228</v>
      </c>
      <c r="D546" s="21" t="s">
        <v>222</v>
      </c>
      <c r="E546" s="21">
        <v>2.2</v>
      </c>
      <c r="F546" s="21">
        <v>3.09</v>
      </c>
      <c r="G546" s="30">
        <f t="shared" si="1"/>
        <v>2.645</v>
      </c>
      <c r="H546" s="30">
        <f t="shared" si="4"/>
        <v>2.8675</v>
      </c>
      <c r="I546" s="31">
        <f t="shared" si="3"/>
        <v>0.3364839319</v>
      </c>
    </row>
    <row r="547" ht="22.5" customHeight="1">
      <c r="A547" s="35">
        <v>45926.0</v>
      </c>
      <c r="B547" s="21" t="s">
        <v>129</v>
      </c>
      <c r="C547" s="21" t="s">
        <v>229</v>
      </c>
      <c r="D547" s="21" t="s">
        <v>222</v>
      </c>
      <c r="E547" s="21">
        <v>1.76</v>
      </c>
      <c r="F547" s="21">
        <v>2.9</v>
      </c>
      <c r="G547" s="30">
        <f t="shared" si="1"/>
        <v>2.33</v>
      </c>
      <c r="H547" s="30">
        <f t="shared" si="4"/>
        <v>2.615</v>
      </c>
      <c r="I547" s="31">
        <f t="shared" si="3"/>
        <v>0.4892703863</v>
      </c>
    </row>
    <row r="548" ht="22.5" customHeight="1">
      <c r="A548" s="35">
        <v>45933.0</v>
      </c>
      <c r="B548" s="21" t="s">
        <v>136</v>
      </c>
      <c r="C548" s="21"/>
      <c r="D548" s="21" t="s">
        <v>210</v>
      </c>
      <c r="E548" s="21">
        <v>1.1</v>
      </c>
      <c r="F548" s="21">
        <v>1.33</v>
      </c>
      <c r="G548" s="30">
        <f t="shared" si="1"/>
        <v>1.215</v>
      </c>
      <c r="H548" s="30">
        <f t="shared" si="4"/>
        <v>1.2725</v>
      </c>
      <c r="I548" s="31">
        <f t="shared" si="3"/>
        <v>0.1893004115</v>
      </c>
    </row>
    <row r="549" ht="22.5" customHeight="1">
      <c r="A549" s="35">
        <v>45933.0</v>
      </c>
      <c r="B549" s="21" t="s">
        <v>136</v>
      </c>
      <c r="C549" s="21"/>
      <c r="D549" s="21" t="s">
        <v>211</v>
      </c>
      <c r="E549" s="21">
        <v>1.34</v>
      </c>
      <c r="F549" s="21">
        <v>1.53</v>
      </c>
      <c r="G549" s="30">
        <f t="shared" si="1"/>
        <v>1.435</v>
      </c>
      <c r="H549" s="30">
        <f t="shared" si="4"/>
        <v>1.4825</v>
      </c>
      <c r="I549" s="31">
        <f t="shared" si="3"/>
        <v>0.1324041812</v>
      </c>
    </row>
    <row r="550" ht="22.5" customHeight="1">
      <c r="A550" s="35">
        <v>45933.0</v>
      </c>
      <c r="B550" s="21" t="s">
        <v>136</v>
      </c>
      <c r="C550" s="21"/>
      <c r="D550" s="21" t="s">
        <v>212</v>
      </c>
      <c r="E550" s="21">
        <v>1.56</v>
      </c>
      <c r="F550" s="21">
        <v>1.77</v>
      </c>
      <c r="G550" s="30">
        <f t="shared" si="1"/>
        <v>1.665</v>
      </c>
      <c r="H550" s="30">
        <f t="shared" si="4"/>
        <v>1.7175</v>
      </c>
      <c r="I550" s="31">
        <f t="shared" si="3"/>
        <v>0.1261261261</v>
      </c>
    </row>
    <row r="551" ht="22.5" customHeight="1">
      <c r="A551" s="35">
        <v>45933.0</v>
      </c>
      <c r="B551" s="21" t="s">
        <v>139</v>
      </c>
      <c r="C551" s="21"/>
      <c r="D551" s="21" t="s">
        <v>214</v>
      </c>
      <c r="E551" s="21">
        <v>1.71</v>
      </c>
      <c r="F551" s="21">
        <v>1.88</v>
      </c>
      <c r="G551" s="30">
        <f t="shared" si="1"/>
        <v>1.795</v>
      </c>
      <c r="H551" s="30">
        <f t="shared" si="4"/>
        <v>1.8375</v>
      </c>
      <c r="I551" s="31">
        <f t="shared" si="3"/>
        <v>0.09470752089</v>
      </c>
    </row>
    <row r="552" ht="22.5" customHeight="1">
      <c r="A552" s="35">
        <v>45933.0</v>
      </c>
      <c r="B552" s="21" t="s">
        <v>139</v>
      </c>
      <c r="C552" s="21"/>
      <c r="D552" s="21" t="s">
        <v>215</v>
      </c>
      <c r="E552" s="21">
        <v>1.94</v>
      </c>
      <c r="F552" s="21">
        <v>1.94</v>
      </c>
      <c r="G552" s="30">
        <f t="shared" si="1"/>
        <v>1.94</v>
      </c>
      <c r="H552" s="30">
        <f t="shared" si="4"/>
        <v>1.94</v>
      </c>
      <c r="I552" s="31">
        <f t="shared" si="3"/>
        <v>0</v>
      </c>
    </row>
    <row r="553" ht="22.5" customHeight="1">
      <c r="A553" s="35">
        <v>45933.0</v>
      </c>
      <c r="B553" s="21" t="s">
        <v>139</v>
      </c>
      <c r="C553" s="21"/>
      <c r="D553" s="21" t="s">
        <v>216</v>
      </c>
      <c r="E553" s="21">
        <v>1.31</v>
      </c>
      <c r="F553" s="21">
        <v>1.68</v>
      </c>
      <c r="G553" s="30">
        <f t="shared" si="1"/>
        <v>1.495</v>
      </c>
      <c r="H553" s="30">
        <f t="shared" si="4"/>
        <v>1.5875</v>
      </c>
      <c r="I553" s="31">
        <f t="shared" si="3"/>
        <v>0.2474916388</v>
      </c>
    </row>
    <row r="554" ht="22.5" customHeight="1">
      <c r="A554" s="35">
        <v>45933.0</v>
      </c>
      <c r="B554" s="21" t="s">
        <v>133</v>
      </c>
      <c r="C554" s="21"/>
      <c r="D554" s="21" t="s">
        <v>217</v>
      </c>
      <c r="E554" s="21">
        <v>3800.0</v>
      </c>
      <c r="F554" s="21">
        <v>4400.0</v>
      </c>
      <c r="G554" s="30">
        <f t="shared" si="1"/>
        <v>4100</v>
      </c>
      <c r="H554" s="30">
        <f t="shared" si="4"/>
        <v>4250</v>
      </c>
      <c r="I554" s="31">
        <f t="shared" si="3"/>
        <v>0.1463414634</v>
      </c>
    </row>
    <row r="555" ht="22.5" customHeight="1">
      <c r="A555" s="35">
        <v>45933.0</v>
      </c>
      <c r="B555" s="21" t="s">
        <v>133</v>
      </c>
      <c r="C555" s="21"/>
      <c r="D555" s="21" t="s">
        <v>218</v>
      </c>
      <c r="E555" s="21">
        <v>2500.0</v>
      </c>
      <c r="F555" s="21">
        <v>3500.0</v>
      </c>
      <c r="G555" s="30">
        <f t="shared" si="1"/>
        <v>3000</v>
      </c>
      <c r="H555" s="30">
        <f t="shared" si="4"/>
        <v>3250</v>
      </c>
      <c r="I555" s="31">
        <f t="shared" si="3"/>
        <v>0.3333333333</v>
      </c>
    </row>
    <row r="556" ht="22.5" customHeight="1">
      <c r="A556" s="35">
        <v>45933.0</v>
      </c>
      <c r="B556" s="21" t="s">
        <v>133</v>
      </c>
      <c r="C556" s="21"/>
      <c r="D556" s="21" t="s">
        <v>219</v>
      </c>
      <c r="E556" s="21">
        <v>3000.0</v>
      </c>
      <c r="F556" s="21">
        <v>4200.0</v>
      </c>
      <c r="G556" s="30">
        <f t="shared" si="1"/>
        <v>3600</v>
      </c>
      <c r="H556" s="30">
        <f t="shared" si="4"/>
        <v>3900</v>
      </c>
      <c r="I556" s="31">
        <f t="shared" si="3"/>
        <v>0.3333333333</v>
      </c>
    </row>
    <row r="557" ht="22.5" customHeight="1">
      <c r="A557" s="35">
        <v>45933.0</v>
      </c>
      <c r="B557" s="21" t="s">
        <v>133</v>
      </c>
      <c r="C557" s="21"/>
      <c r="D557" s="21" t="s">
        <v>220</v>
      </c>
      <c r="E557" s="21">
        <v>1750.0</v>
      </c>
      <c r="F557" s="21">
        <v>2500.0</v>
      </c>
      <c r="G557" s="30">
        <f t="shared" si="1"/>
        <v>2125</v>
      </c>
      <c r="H557" s="30">
        <f t="shared" si="4"/>
        <v>2312.5</v>
      </c>
      <c r="I557" s="31">
        <f t="shared" si="3"/>
        <v>0.3529411765</v>
      </c>
    </row>
    <row r="558" ht="22.5" customHeight="1">
      <c r="A558" s="35">
        <v>45933.0</v>
      </c>
      <c r="B558" s="21" t="s">
        <v>120</v>
      </c>
      <c r="C558" s="21" t="s">
        <v>221</v>
      </c>
      <c r="D558" s="21" t="s">
        <v>222</v>
      </c>
      <c r="E558" s="21">
        <v>4.7</v>
      </c>
      <c r="F558" s="21">
        <v>6.9</v>
      </c>
      <c r="G558" s="30">
        <f t="shared" si="1"/>
        <v>5.8</v>
      </c>
      <c r="H558" s="30">
        <f t="shared" si="4"/>
        <v>6.35</v>
      </c>
      <c r="I558" s="31">
        <f t="shared" si="3"/>
        <v>0.3793103448</v>
      </c>
    </row>
    <row r="559" ht="22.5" customHeight="1">
      <c r="A559" s="35">
        <v>45933.0</v>
      </c>
      <c r="B559" s="21" t="s">
        <v>120</v>
      </c>
      <c r="C559" s="21" t="s">
        <v>223</v>
      </c>
      <c r="D559" s="21" t="s">
        <v>222</v>
      </c>
      <c r="E559" s="21">
        <v>3.4</v>
      </c>
      <c r="F559" s="21">
        <v>6.1</v>
      </c>
      <c r="G559" s="30">
        <f t="shared" si="1"/>
        <v>4.75</v>
      </c>
      <c r="H559" s="30">
        <f t="shared" si="4"/>
        <v>5.425</v>
      </c>
      <c r="I559" s="31">
        <f t="shared" si="3"/>
        <v>0.5684210526</v>
      </c>
    </row>
    <row r="560" ht="22.5" customHeight="1">
      <c r="A560" s="35">
        <v>45933.0</v>
      </c>
      <c r="B560" s="21" t="s">
        <v>120</v>
      </c>
      <c r="C560" s="21" t="s">
        <v>224</v>
      </c>
      <c r="D560" s="21" t="s">
        <v>222</v>
      </c>
      <c r="E560" s="21">
        <v>3.6</v>
      </c>
      <c r="F560" s="21">
        <v>5.0</v>
      </c>
      <c r="G560" s="30">
        <f t="shared" si="1"/>
        <v>4.3</v>
      </c>
      <c r="H560" s="30">
        <f t="shared" si="4"/>
        <v>4.65</v>
      </c>
      <c r="I560" s="31">
        <f t="shared" si="3"/>
        <v>0.3255813953</v>
      </c>
    </row>
    <row r="561" ht="22.5" customHeight="1">
      <c r="A561" s="35">
        <v>45933.0</v>
      </c>
      <c r="B561" s="21" t="s">
        <v>120</v>
      </c>
      <c r="C561" s="21" t="s">
        <v>225</v>
      </c>
      <c r="D561" s="21" t="s">
        <v>222</v>
      </c>
      <c r="E561" s="21">
        <v>3.0</v>
      </c>
      <c r="F561" s="21">
        <v>4.6</v>
      </c>
      <c r="G561" s="30">
        <f t="shared" si="1"/>
        <v>3.8</v>
      </c>
      <c r="H561" s="30">
        <f t="shared" si="4"/>
        <v>4.2</v>
      </c>
      <c r="I561" s="31">
        <f t="shared" si="3"/>
        <v>0.4210526316</v>
      </c>
    </row>
    <row r="562" ht="22.5" customHeight="1">
      <c r="A562" s="35">
        <v>45933.0</v>
      </c>
      <c r="B562" s="21" t="s">
        <v>120</v>
      </c>
      <c r="C562" s="21" t="s">
        <v>226</v>
      </c>
      <c r="D562" s="21" t="s">
        <v>222</v>
      </c>
      <c r="E562" s="21">
        <v>3.0</v>
      </c>
      <c r="F562" s="21">
        <v>4.15</v>
      </c>
      <c r="G562" s="30">
        <f t="shared" si="1"/>
        <v>3.575</v>
      </c>
      <c r="H562" s="30">
        <f t="shared" si="4"/>
        <v>3.8625</v>
      </c>
      <c r="I562" s="31">
        <f t="shared" si="3"/>
        <v>0.3216783217</v>
      </c>
    </row>
    <row r="563" ht="22.5" customHeight="1">
      <c r="A563" s="35">
        <v>45933.0</v>
      </c>
      <c r="B563" s="21" t="s">
        <v>120</v>
      </c>
      <c r="C563" s="21" t="s">
        <v>227</v>
      </c>
      <c r="D563" s="21" t="s">
        <v>222</v>
      </c>
      <c r="E563" s="21">
        <v>2.5</v>
      </c>
      <c r="F563" s="21">
        <v>3.87</v>
      </c>
      <c r="G563" s="30">
        <f t="shared" si="1"/>
        <v>3.185</v>
      </c>
      <c r="H563" s="30">
        <f t="shared" si="4"/>
        <v>3.5275</v>
      </c>
      <c r="I563" s="31">
        <f t="shared" si="3"/>
        <v>0.4301412873</v>
      </c>
    </row>
    <row r="564" ht="22.5" customHeight="1">
      <c r="A564" s="35">
        <v>45933.0</v>
      </c>
      <c r="B564" s="21" t="s">
        <v>120</v>
      </c>
      <c r="C564" s="21" t="s">
        <v>228</v>
      </c>
      <c r="D564" s="21" t="s">
        <v>222</v>
      </c>
      <c r="E564" s="21">
        <v>2.1</v>
      </c>
      <c r="F564" s="21">
        <v>3.41</v>
      </c>
      <c r="G564" s="30">
        <f t="shared" si="1"/>
        <v>2.755</v>
      </c>
      <c r="H564" s="30">
        <f t="shared" si="4"/>
        <v>3.0825</v>
      </c>
      <c r="I564" s="31">
        <f t="shared" si="3"/>
        <v>0.4754990926</v>
      </c>
    </row>
    <row r="565" ht="22.5" customHeight="1">
      <c r="A565" s="35">
        <v>45933.0</v>
      </c>
      <c r="B565" s="21" t="s">
        <v>120</v>
      </c>
      <c r="C565" s="21" t="s">
        <v>229</v>
      </c>
      <c r="D565" s="21" t="s">
        <v>222</v>
      </c>
      <c r="E565" s="21">
        <v>2.1</v>
      </c>
      <c r="F565" s="21">
        <v>3.17</v>
      </c>
      <c r="G565" s="30">
        <f t="shared" si="1"/>
        <v>2.635</v>
      </c>
      <c r="H565" s="30">
        <f t="shared" si="4"/>
        <v>2.9025</v>
      </c>
      <c r="I565" s="31">
        <f t="shared" si="3"/>
        <v>0.4060721063</v>
      </c>
    </row>
    <row r="566" ht="22.5" customHeight="1">
      <c r="A566" s="35">
        <v>45933.0</v>
      </c>
      <c r="B566" s="21" t="s">
        <v>129</v>
      </c>
      <c r="C566" s="21" t="s">
        <v>221</v>
      </c>
      <c r="D566" s="21" t="s">
        <v>222</v>
      </c>
      <c r="E566" s="21">
        <v>4.8</v>
      </c>
      <c r="F566" s="21">
        <v>6.1</v>
      </c>
      <c r="G566" s="30">
        <f t="shared" si="1"/>
        <v>5.45</v>
      </c>
      <c r="H566" s="30">
        <f t="shared" si="4"/>
        <v>5.775</v>
      </c>
      <c r="I566" s="31">
        <f t="shared" si="3"/>
        <v>0.2385321101</v>
      </c>
    </row>
    <row r="567" ht="22.5" customHeight="1">
      <c r="A567" s="35">
        <v>45933.0</v>
      </c>
      <c r="B567" s="21" t="s">
        <v>129</v>
      </c>
      <c r="C567" s="21" t="s">
        <v>223</v>
      </c>
      <c r="D567" s="21" t="s">
        <v>222</v>
      </c>
      <c r="E567" s="21">
        <v>3.52</v>
      </c>
      <c r="F567" s="21">
        <v>5.9</v>
      </c>
      <c r="G567" s="30">
        <f t="shared" si="1"/>
        <v>4.71</v>
      </c>
      <c r="H567" s="30">
        <f t="shared" si="4"/>
        <v>5.305</v>
      </c>
      <c r="I567" s="31">
        <f t="shared" si="3"/>
        <v>0.5053078556</v>
      </c>
    </row>
    <row r="568" ht="22.5" customHeight="1">
      <c r="A568" s="35">
        <v>45933.0</v>
      </c>
      <c r="B568" s="21" t="s">
        <v>129</v>
      </c>
      <c r="C568" s="21" t="s">
        <v>224</v>
      </c>
      <c r="D568" s="21" t="s">
        <v>222</v>
      </c>
      <c r="E568" s="21">
        <v>3.0</v>
      </c>
      <c r="F568" s="21">
        <v>4.9</v>
      </c>
      <c r="G568" s="30">
        <f t="shared" si="1"/>
        <v>3.95</v>
      </c>
      <c r="H568" s="30">
        <f t="shared" si="4"/>
        <v>4.425</v>
      </c>
      <c r="I568" s="31">
        <f t="shared" si="3"/>
        <v>0.4810126582</v>
      </c>
    </row>
    <row r="569" ht="22.5" customHeight="1">
      <c r="A569" s="35">
        <v>45933.0</v>
      </c>
      <c r="B569" s="21" t="s">
        <v>129</v>
      </c>
      <c r="C569" s="21" t="s">
        <v>225</v>
      </c>
      <c r="D569" s="21" t="s">
        <v>222</v>
      </c>
      <c r="E569" s="21">
        <v>3.1</v>
      </c>
      <c r="F569" s="21">
        <v>4.1</v>
      </c>
      <c r="G569" s="30">
        <f t="shared" si="1"/>
        <v>3.6</v>
      </c>
      <c r="H569" s="30">
        <f t="shared" si="4"/>
        <v>3.85</v>
      </c>
      <c r="I569" s="31">
        <f t="shared" si="3"/>
        <v>0.2777777778</v>
      </c>
    </row>
    <row r="570" ht="22.5" customHeight="1">
      <c r="A570" s="35">
        <v>45933.0</v>
      </c>
      <c r="B570" s="21" t="s">
        <v>129</v>
      </c>
      <c r="C570" s="21" t="s">
        <v>226</v>
      </c>
      <c r="D570" s="21" t="s">
        <v>222</v>
      </c>
      <c r="E570" s="21">
        <v>2.65</v>
      </c>
      <c r="F570" s="21">
        <v>4.3</v>
      </c>
      <c r="G570" s="30">
        <f t="shared" si="1"/>
        <v>3.475</v>
      </c>
      <c r="H570" s="30">
        <f t="shared" si="4"/>
        <v>3.8875</v>
      </c>
      <c r="I570" s="31">
        <f t="shared" si="3"/>
        <v>0.4748201439</v>
      </c>
    </row>
    <row r="571" ht="22.5" customHeight="1">
      <c r="A571" s="35">
        <v>45933.0</v>
      </c>
      <c r="B571" s="21" t="s">
        <v>129</v>
      </c>
      <c r="C571" s="21" t="s">
        <v>227</v>
      </c>
      <c r="D571" s="21" t="s">
        <v>222</v>
      </c>
      <c r="E571" s="21">
        <v>2.2</v>
      </c>
      <c r="F571" s="21">
        <v>3.3</v>
      </c>
      <c r="G571" s="30">
        <f t="shared" si="1"/>
        <v>2.75</v>
      </c>
      <c r="H571" s="30">
        <f t="shared" si="4"/>
        <v>3.025</v>
      </c>
      <c r="I571" s="31">
        <f t="shared" si="3"/>
        <v>0.4</v>
      </c>
    </row>
    <row r="572" ht="22.5" customHeight="1">
      <c r="A572" s="35">
        <v>45933.0</v>
      </c>
      <c r="B572" s="21" t="s">
        <v>129</v>
      </c>
      <c r="C572" s="21" t="s">
        <v>228</v>
      </c>
      <c r="D572" s="21" t="s">
        <v>222</v>
      </c>
      <c r="E572" s="21">
        <v>2.2</v>
      </c>
      <c r="F572" s="21">
        <v>3.09</v>
      </c>
      <c r="G572" s="30">
        <f t="shared" si="1"/>
        <v>2.645</v>
      </c>
      <c r="H572" s="30">
        <f t="shared" si="4"/>
        <v>2.8675</v>
      </c>
      <c r="I572" s="31">
        <f t="shared" si="3"/>
        <v>0.3364839319</v>
      </c>
    </row>
    <row r="573" ht="22.5" customHeight="1">
      <c r="A573" s="35">
        <v>45933.0</v>
      </c>
      <c r="B573" s="21" t="s">
        <v>129</v>
      </c>
      <c r="C573" s="21" t="s">
        <v>229</v>
      </c>
      <c r="D573" s="21" t="s">
        <v>222</v>
      </c>
      <c r="E573" s="21">
        <v>1.76</v>
      </c>
      <c r="F573" s="21">
        <v>2.9</v>
      </c>
      <c r="G573" s="30">
        <f t="shared" si="1"/>
        <v>2.33</v>
      </c>
      <c r="H573" s="30">
        <f t="shared" si="4"/>
        <v>2.615</v>
      </c>
      <c r="I573" s="31">
        <f t="shared" si="3"/>
        <v>0.4892703863</v>
      </c>
    </row>
    <row r="574" ht="22.5" customHeight="1">
      <c r="A574" s="35">
        <v>45940.0</v>
      </c>
      <c r="B574" s="21" t="s">
        <v>136</v>
      </c>
      <c r="C574" s="21"/>
      <c r="D574" s="21" t="s">
        <v>210</v>
      </c>
      <c r="E574" s="21">
        <v>1.1</v>
      </c>
      <c r="F574" s="21">
        <v>1.33</v>
      </c>
      <c r="G574" s="30">
        <f t="shared" si="1"/>
        <v>1.215</v>
      </c>
      <c r="H574" s="30">
        <f t="shared" si="4"/>
        <v>1.2725</v>
      </c>
      <c r="I574" s="31">
        <f t="shared" si="3"/>
        <v>0.1893004115</v>
      </c>
    </row>
    <row r="575" ht="22.5" customHeight="1">
      <c r="A575" s="35">
        <v>45940.0</v>
      </c>
      <c r="B575" s="21" t="s">
        <v>136</v>
      </c>
      <c r="C575" s="21"/>
      <c r="D575" s="21" t="s">
        <v>211</v>
      </c>
      <c r="E575" s="21">
        <v>1.34</v>
      </c>
      <c r="F575" s="21">
        <v>1.53</v>
      </c>
      <c r="G575" s="30">
        <f t="shared" si="1"/>
        <v>1.435</v>
      </c>
      <c r="H575" s="30">
        <f t="shared" si="4"/>
        <v>1.4825</v>
      </c>
      <c r="I575" s="31">
        <f t="shared" si="3"/>
        <v>0.1324041812</v>
      </c>
    </row>
    <row r="576" ht="22.5" customHeight="1">
      <c r="A576" s="35">
        <v>45940.0</v>
      </c>
      <c r="B576" s="21" t="s">
        <v>136</v>
      </c>
      <c r="C576" s="21"/>
      <c r="D576" s="21" t="s">
        <v>212</v>
      </c>
      <c r="E576" s="21">
        <v>1.56</v>
      </c>
      <c r="F576" s="21">
        <v>1.75</v>
      </c>
      <c r="G576" s="30">
        <f t="shared" si="1"/>
        <v>1.655</v>
      </c>
      <c r="H576" s="30">
        <f t="shared" si="4"/>
        <v>1.7025</v>
      </c>
      <c r="I576" s="31">
        <f t="shared" si="3"/>
        <v>0.1148036254</v>
      </c>
    </row>
    <row r="577" ht="22.5" customHeight="1">
      <c r="A577" s="35">
        <v>45940.0</v>
      </c>
      <c r="B577" s="21" t="s">
        <v>139</v>
      </c>
      <c r="C577" s="21"/>
      <c r="D577" s="21" t="s">
        <v>214</v>
      </c>
      <c r="E577" s="21">
        <v>1.71</v>
      </c>
      <c r="F577" s="21">
        <v>1.91</v>
      </c>
      <c r="G577" s="30">
        <f t="shared" si="1"/>
        <v>1.81</v>
      </c>
      <c r="H577" s="30">
        <f t="shared" si="4"/>
        <v>1.86</v>
      </c>
      <c r="I577" s="31">
        <f t="shared" si="3"/>
        <v>0.1104972376</v>
      </c>
    </row>
    <row r="578" ht="22.5" customHeight="1">
      <c r="A578" s="35">
        <v>45940.0</v>
      </c>
      <c r="B578" s="21" t="s">
        <v>139</v>
      </c>
      <c r="C578" s="21"/>
      <c r="D578" s="21" t="s">
        <v>215</v>
      </c>
      <c r="E578" s="21">
        <v>1.97</v>
      </c>
      <c r="F578" s="21">
        <v>1.97</v>
      </c>
      <c r="G578" s="30">
        <f t="shared" si="1"/>
        <v>1.97</v>
      </c>
      <c r="H578" s="30">
        <f t="shared" si="4"/>
        <v>1.97</v>
      </c>
      <c r="I578" s="31">
        <f t="shared" si="3"/>
        <v>0</v>
      </c>
    </row>
    <row r="579" ht="22.5" customHeight="1">
      <c r="A579" s="35">
        <v>45940.0</v>
      </c>
      <c r="B579" s="21" t="s">
        <v>139</v>
      </c>
      <c r="C579" s="21"/>
      <c r="D579" s="21" t="s">
        <v>216</v>
      </c>
      <c r="E579" s="21">
        <v>1.31</v>
      </c>
      <c r="F579" s="21">
        <v>1.68</v>
      </c>
      <c r="G579" s="30">
        <f t="shared" si="1"/>
        <v>1.495</v>
      </c>
      <c r="H579" s="30">
        <f t="shared" si="4"/>
        <v>1.5875</v>
      </c>
      <c r="I579" s="31">
        <f t="shared" si="3"/>
        <v>0.2474916388</v>
      </c>
    </row>
    <row r="580" ht="22.5" customHeight="1">
      <c r="A580" s="35">
        <v>45940.0</v>
      </c>
      <c r="B580" s="21" t="s">
        <v>133</v>
      </c>
      <c r="C580" s="21"/>
      <c r="D580" s="21" t="s">
        <v>217</v>
      </c>
      <c r="E580" s="21">
        <v>3800.0</v>
      </c>
      <c r="F580" s="21">
        <v>4400.0</v>
      </c>
      <c r="G580" s="30">
        <f t="shared" si="1"/>
        <v>4100</v>
      </c>
      <c r="H580" s="30">
        <f t="shared" si="4"/>
        <v>4250</v>
      </c>
      <c r="I580" s="31">
        <f t="shared" si="3"/>
        <v>0.1463414634</v>
      </c>
    </row>
    <row r="581" ht="22.5" customHeight="1">
      <c r="A581" s="35">
        <v>45940.0</v>
      </c>
      <c r="B581" s="21" t="s">
        <v>133</v>
      </c>
      <c r="C581" s="21"/>
      <c r="D581" s="21" t="s">
        <v>218</v>
      </c>
      <c r="E581" s="21">
        <v>2500.0</v>
      </c>
      <c r="F581" s="21">
        <v>3500.0</v>
      </c>
      <c r="G581" s="30">
        <f t="shared" si="1"/>
        <v>3000</v>
      </c>
      <c r="H581" s="30">
        <f t="shared" si="4"/>
        <v>3250</v>
      </c>
      <c r="I581" s="31">
        <f t="shared" si="3"/>
        <v>0.3333333333</v>
      </c>
    </row>
    <row r="582" ht="22.5" customHeight="1">
      <c r="A582" s="35">
        <v>45940.0</v>
      </c>
      <c r="B582" s="21" t="s">
        <v>133</v>
      </c>
      <c r="C582" s="21"/>
      <c r="D582" s="21" t="s">
        <v>219</v>
      </c>
      <c r="E582" s="21">
        <v>3000.0</v>
      </c>
      <c r="F582" s="21">
        <v>4200.0</v>
      </c>
      <c r="G582" s="30">
        <f t="shared" si="1"/>
        <v>3600</v>
      </c>
      <c r="H582" s="30">
        <f t="shared" si="4"/>
        <v>3900</v>
      </c>
      <c r="I582" s="31">
        <f t="shared" si="3"/>
        <v>0.3333333333</v>
      </c>
    </row>
    <row r="583" ht="22.5" customHeight="1">
      <c r="A583" s="35">
        <v>45940.0</v>
      </c>
      <c r="B583" s="21" t="s">
        <v>133</v>
      </c>
      <c r="C583" s="21"/>
      <c r="D583" s="21" t="s">
        <v>220</v>
      </c>
      <c r="E583" s="21">
        <v>1750.0</v>
      </c>
      <c r="F583" s="21">
        <v>2500.0</v>
      </c>
      <c r="G583" s="30">
        <f t="shared" si="1"/>
        <v>2125</v>
      </c>
      <c r="H583" s="30">
        <f t="shared" si="4"/>
        <v>2312.5</v>
      </c>
      <c r="I583" s="31">
        <f t="shared" si="3"/>
        <v>0.3529411765</v>
      </c>
    </row>
    <row r="584" ht="22.5" customHeight="1">
      <c r="A584" s="35">
        <v>45940.0</v>
      </c>
      <c r="B584" s="21" t="s">
        <v>120</v>
      </c>
      <c r="C584" s="21" t="s">
        <v>221</v>
      </c>
      <c r="D584" s="21" t="s">
        <v>222</v>
      </c>
      <c r="E584" s="21">
        <v>4.7</v>
      </c>
      <c r="F584" s="21">
        <v>6.2</v>
      </c>
      <c r="G584" s="30">
        <f t="shared" si="1"/>
        <v>5.45</v>
      </c>
      <c r="H584" s="30">
        <f t="shared" si="4"/>
        <v>5.825</v>
      </c>
      <c r="I584" s="31">
        <f t="shared" si="3"/>
        <v>0.2752293578</v>
      </c>
    </row>
    <row r="585" ht="22.5" customHeight="1">
      <c r="A585" s="35">
        <v>45940.0</v>
      </c>
      <c r="B585" s="21" t="s">
        <v>120</v>
      </c>
      <c r="C585" s="21" t="s">
        <v>223</v>
      </c>
      <c r="D585" s="21" t="s">
        <v>222</v>
      </c>
      <c r="E585" s="21">
        <v>3.4</v>
      </c>
      <c r="F585" s="21">
        <v>5.4</v>
      </c>
      <c r="G585" s="30">
        <f t="shared" si="1"/>
        <v>4.4</v>
      </c>
      <c r="H585" s="30">
        <f t="shared" si="4"/>
        <v>4.9</v>
      </c>
      <c r="I585" s="31">
        <f t="shared" si="3"/>
        <v>0.4545454545</v>
      </c>
    </row>
    <row r="586" ht="22.5" customHeight="1">
      <c r="A586" s="35">
        <v>45940.0</v>
      </c>
      <c r="B586" s="21" t="s">
        <v>120</v>
      </c>
      <c r="C586" s="21" t="s">
        <v>224</v>
      </c>
      <c r="D586" s="21" t="s">
        <v>222</v>
      </c>
      <c r="E586" s="21">
        <v>3.6</v>
      </c>
      <c r="F586" s="21">
        <v>5.1</v>
      </c>
      <c r="G586" s="30">
        <f t="shared" si="1"/>
        <v>4.35</v>
      </c>
      <c r="H586" s="30">
        <f t="shared" si="4"/>
        <v>4.725</v>
      </c>
      <c r="I586" s="31">
        <f t="shared" si="3"/>
        <v>0.3448275862</v>
      </c>
    </row>
    <row r="587" ht="22.5" customHeight="1">
      <c r="A587" s="35">
        <v>45940.0</v>
      </c>
      <c r="B587" s="21" t="s">
        <v>120</v>
      </c>
      <c r="C587" s="21" t="s">
        <v>225</v>
      </c>
      <c r="D587" s="21" t="s">
        <v>222</v>
      </c>
      <c r="E587" s="21">
        <v>3.0</v>
      </c>
      <c r="F587" s="21">
        <v>4.7</v>
      </c>
      <c r="G587" s="30">
        <f t="shared" si="1"/>
        <v>3.85</v>
      </c>
      <c r="H587" s="30">
        <f t="shared" si="4"/>
        <v>4.275</v>
      </c>
      <c r="I587" s="31">
        <f t="shared" si="3"/>
        <v>0.4415584416</v>
      </c>
    </row>
    <row r="588" ht="22.5" customHeight="1">
      <c r="A588" s="35">
        <v>45940.0</v>
      </c>
      <c r="B588" s="21" t="s">
        <v>120</v>
      </c>
      <c r="C588" s="21" t="s">
        <v>226</v>
      </c>
      <c r="D588" s="21" t="s">
        <v>222</v>
      </c>
      <c r="E588" s="21">
        <v>3.0</v>
      </c>
      <c r="F588" s="21">
        <v>4.17</v>
      </c>
      <c r="G588" s="30">
        <f t="shared" si="1"/>
        <v>3.585</v>
      </c>
      <c r="H588" s="30">
        <f t="shared" si="4"/>
        <v>3.8775</v>
      </c>
      <c r="I588" s="31">
        <f t="shared" si="3"/>
        <v>0.3263598326</v>
      </c>
    </row>
    <row r="589" ht="22.5" customHeight="1">
      <c r="A589" s="35">
        <v>45940.0</v>
      </c>
      <c r="B589" s="21" t="s">
        <v>120</v>
      </c>
      <c r="C589" s="21" t="s">
        <v>227</v>
      </c>
      <c r="D589" s="21" t="s">
        <v>222</v>
      </c>
      <c r="E589" s="21">
        <v>2.5</v>
      </c>
      <c r="F589" s="21">
        <v>3.85</v>
      </c>
      <c r="G589" s="30">
        <f t="shared" si="1"/>
        <v>3.175</v>
      </c>
      <c r="H589" s="30">
        <f t="shared" si="4"/>
        <v>3.5125</v>
      </c>
      <c r="I589" s="31">
        <f t="shared" si="3"/>
        <v>0.4251968504</v>
      </c>
    </row>
    <row r="590" ht="22.5" customHeight="1">
      <c r="A590" s="35">
        <v>45940.0</v>
      </c>
      <c r="B590" s="21" t="s">
        <v>120</v>
      </c>
      <c r="C590" s="21" t="s">
        <v>228</v>
      </c>
      <c r="D590" s="21" t="s">
        <v>222</v>
      </c>
      <c r="E590" s="21">
        <v>2.1</v>
      </c>
      <c r="F590" s="21">
        <v>3.6</v>
      </c>
      <c r="G590" s="30">
        <f t="shared" si="1"/>
        <v>2.85</v>
      </c>
      <c r="H590" s="30">
        <f t="shared" si="4"/>
        <v>3.225</v>
      </c>
      <c r="I590" s="31">
        <f t="shared" si="3"/>
        <v>0.5263157895</v>
      </c>
    </row>
    <row r="591" ht="22.5" customHeight="1">
      <c r="A591" s="35">
        <v>45940.0</v>
      </c>
      <c r="B591" s="21" t="s">
        <v>120</v>
      </c>
      <c r="C591" s="21" t="s">
        <v>229</v>
      </c>
      <c r="D591" s="21" t="s">
        <v>222</v>
      </c>
      <c r="E591" s="21">
        <v>2.1</v>
      </c>
      <c r="F591" s="21">
        <v>3.33</v>
      </c>
      <c r="G591" s="30">
        <f t="shared" si="1"/>
        <v>2.715</v>
      </c>
      <c r="H591" s="30">
        <f t="shared" si="4"/>
        <v>3.0225</v>
      </c>
      <c r="I591" s="31">
        <f t="shared" si="3"/>
        <v>0.453038674</v>
      </c>
    </row>
    <row r="592" ht="22.5" customHeight="1">
      <c r="A592" s="35">
        <v>45940.0</v>
      </c>
      <c r="B592" s="21" t="s">
        <v>129</v>
      </c>
      <c r="C592" s="21" t="s">
        <v>221</v>
      </c>
      <c r="D592" s="21" t="s">
        <v>222</v>
      </c>
      <c r="E592" s="21">
        <v>4.8</v>
      </c>
      <c r="F592" s="21">
        <v>6.0</v>
      </c>
      <c r="G592" s="30">
        <f t="shared" si="1"/>
        <v>5.4</v>
      </c>
      <c r="H592" s="30">
        <f t="shared" si="4"/>
        <v>5.7</v>
      </c>
      <c r="I592" s="31">
        <f t="shared" si="3"/>
        <v>0.2222222222</v>
      </c>
    </row>
    <row r="593" ht="22.5" customHeight="1">
      <c r="A593" s="35">
        <v>45940.0</v>
      </c>
      <c r="B593" s="21" t="s">
        <v>129</v>
      </c>
      <c r="C593" s="21" t="s">
        <v>223</v>
      </c>
      <c r="D593" s="21" t="s">
        <v>222</v>
      </c>
      <c r="E593" s="21">
        <v>3.52</v>
      </c>
      <c r="F593" s="21">
        <v>4.02</v>
      </c>
      <c r="G593" s="30">
        <f t="shared" si="1"/>
        <v>3.77</v>
      </c>
      <c r="H593" s="30">
        <f t="shared" si="4"/>
        <v>3.895</v>
      </c>
      <c r="I593" s="31">
        <f t="shared" si="3"/>
        <v>0.1326259947</v>
      </c>
    </row>
    <row r="594" ht="22.5" customHeight="1">
      <c r="A594" s="35">
        <v>45940.0</v>
      </c>
      <c r="B594" s="21" t="s">
        <v>129</v>
      </c>
      <c r="C594" s="21" t="s">
        <v>224</v>
      </c>
      <c r="D594" s="21" t="s">
        <v>222</v>
      </c>
      <c r="E594" s="21">
        <v>3.0</v>
      </c>
      <c r="F594" s="21">
        <v>4.47</v>
      </c>
      <c r="G594" s="30">
        <f t="shared" si="1"/>
        <v>3.735</v>
      </c>
      <c r="H594" s="30">
        <f t="shared" si="4"/>
        <v>4.1025</v>
      </c>
      <c r="I594" s="31">
        <f t="shared" si="3"/>
        <v>0.3935742972</v>
      </c>
    </row>
    <row r="595" ht="22.5" customHeight="1">
      <c r="A595" s="35">
        <v>45940.0</v>
      </c>
      <c r="B595" s="21" t="s">
        <v>129</v>
      </c>
      <c r="C595" s="21" t="s">
        <v>225</v>
      </c>
      <c r="D595" s="21" t="s">
        <v>222</v>
      </c>
      <c r="E595" s="21">
        <v>3.1</v>
      </c>
      <c r="F595" s="21">
        <v>4.22</v>
      </c>
      <c r="G595" s="30">
        <f t="shared" si="1"/>
        <v>3.66</v>
      </c>
      <c r="H595" s="30">
        <f t="shared" si="4"/>
        <v>3.94</v>
      </c>
      <c r="I595" s="31">
        <f t="shared" si="3"/>
        <v>0.306010929</v>
      </c>
    </row>
    <row r="596" ht="22.5" customHeight="1">
      <c r="A596" s="35">
        <v>45940.0</v>
      </c>
      <c r="B596" s="21" t="s">
        <v>129</v>
      </c>
      <c r="C596" s="21" t="s">
        <v>226</v>
      </c>
      <c r="D596" s="21" t="s">
        <v>222</v>
      </c>
      <c r="E596" s="21">
        <v>2.65</v>
      </c>
      <c r="F596" s="21">
        <v>4.7</v>
      </c>
      <c r="G596" s="30">
        <f t="shared" si="1"/>
        <v>3.675</v>
      </c>
      <c r="H596" s="30">
        <f t="shared" si="4"/>
        <v>4.1875</v>
      </c>
      <c r="I596" s="31">
        <f t="shared" si="3"/>
        <v>0.5578231293</v>
      </c>
    </row>
    <row r="597" ht="22.5" customHeight="1">
      <c r="A597" s="35">
        <v>45940.0</v>
      </c>
      <c r="B597" s="21" t="s">
        <v>129</v>
      </c>
      <c r="C597" s="21" t="s">
        <v>227</v>
      </c>
      <c r="D597" s="21" t="s">
        <v>222</v>
      </c>
      <c r="E597" s="21">
        <v>2.2</v>
      </c>
      <c r="F597" s="21">
        <v>3.7</v>
      </c>
      <c r="G597" s="30">
        <f t="shared" si="1"/>
        <v>2.95</v>
      </c>
      <c r="H597" s="30">
        <f t="shared" si="4"/>
        <v>3.325</v>
      </c>
      <c r="I597" s="31">
        <f t="shared" si="3"/>
        <v>0.5084745763</v>
      </c>
    </row>
    <row r="598" ht="22.5" customHeight="1">
      <c r="A598" s="35">
        <v>45940.0</v>
      </c>
      <c r="B598" s="21" t="s">
        <v>129</v>
      </c>
      <c r="C598" s="21" t="s">
        <v>228</v>
      </c>
      <c r="D598" s="21" t="s">
        <v>222</v>
      </c>
      <c r="E598" s="21">
        <v>2.2</v>
      </c>
      <c r="F598" s="21">
        <v>3.32</v>
      </c>
      <c r="G598" s="30">
        <f t="shared" si="1"/>
        <v>2.76</v>
      </c>
      <c r="H598" s="30">
        <f t="shared" si="4"/>
        <v>3.04</v>
      </c>
      <c r="I598" s="31">
        <f t="shared" si="3"/>
        <v>0.4057971014</v>
      </c>
    </row>
    <row r="599" ht="22.5" customHeight="1">
      <c r="A599" s="35">
        <v>45940.0</v>
      </c>
      <c r="B599" s="21" t="s">
        <v>129</v>
      </c>
      <c r="C599" s="21" t="s">
        <v>229</v>
      </c>
      <c r="D599" s="21" t="s">
        <v>222</v>
      </c>
      <c r="E599" s="21">
        <v>1.76</v>
      </c>
      <c r="F599" s="21">
        <v>2.9</v>
      </c>
      <c r="G599" s="30">
        <f t="shared" si="1"/>
        <v>2.33</v>
      </c>
      <c r="H599" s="30">
        <f t="shared" si="4"/>
        <v>2.615</v>
      </c>
      <c r="I599" s="31">
        <f t="shared" si="3"/>
        <v>0.4892703863</v>
      </c>
    </row>
    <row r="600" ht="22.5" customHeight="1">
      <c r="A600" s="35">
        <v>45947.0</v>
      </c>
      <c r="B600" s="21" t="s">
        <v>136</v>
      </c>
      <c r="C600" s="21"/>
      <c r="D600" s="21" t="s">
        <v>210</v>
      </c>
      <c r="E600" s="21">
        <v>1.1</v>
      </c>
      <c r="F600" s="21">
        <v>1.33</v>
      </c>
      <c r="G600" s="30">
        <f t="shared" si="1"/>
        <v>1.215</v>
      </c>
      <c r="H600" s="30">
        <f t="shared" si="4"/>
        <v>1.2725</v>
      </c>
      <c r="I600" s="31">
        <f t="shared" si="3"/>
        <v>0.1893004115</v>
      </c>
    </row>
    <row r="601" ht="22.5" customHeight="1">
      <c r="A601" s="35">
        <v>45947.0</v>
      </c>
      <c r="B601" s="21" t="s">
        <v>136</v>
      </c>
      <c r="C601" s="21"/>
      <c r="D601" s="21" t="s">
        <v>211</v>
      </c>
      <c r="E601" s="21">
        <v>1.34</v>
      </c>
      <c r="F601" s="21">
        <v>1.53</v>
      </c>
      <c r="G601" s="30">
        <f t="shared" si="1"/>
        <v>1.435</v>
      </c>
      <c r="H601" s="30">
        <f t="shared" si="4"/>
        <v>1.4825</v>
      </c>
      <c r="I601" s="31">
        <f t="shared" si="3"/>
        <v>0.1324041812</v>
      </c>
    </row>
    <row r="602" ht="22.5" customHeight="1">
      <c r="A602" s="35">
        <v>45947.0</v>
      </c>
      <c r="B602" s="21" t="s">
        <v>136</v>
      </c>
      <c r="C602" s="21"/>
      <c r="D602" s="21" t="s">
        <v>212</v>
      </c>
      <c r="E602" s="21">
        <v>1.56</v>
      </c>
      <c r="F602" s="21">
        <v>1.75</v>
      </c>
      <c r="G602" s="30">
        <f t="shared" si="1"/>
        <v>1.655</v>
      </c>
      <c r="H602" s="30">
        <f t="shared" si="4"/>
        <v>1.7025</v>
      </c>
      <c r="I602" s="31">
        <f t="shared" si="3"/>
        <v>0.1148036254</v>
      </c>
    </row>
    <row r="603" ht="22.5" customHeight="1">
      <c r="A603" s="35">
        <v>45947.0</v>
      </c>
      <c r="B603" s="21" t="s">
        <v>139</v>
      </c>
      <c r="C603" s="21"/>
      <c r="D603" s="21" t="s">
        <v>214</v>
      </c>
      <c r="E603" s="21">
        <v>1.71</v>
      </c>
      <c r="F603" s="21">
        <v>1.85</v>
      </c>
      <c r="G603" s="30">
        <f t="shared" si="1"/>
        <v>1.78</v>
      </c>
      <c r="H603" s="30">
        <f t="shared" si="4"/>
        <v>1.815</v>
      </c>
      <c r="I603" s="31">
        <f t="shared" si="3"/>
        <v>0.07865168539</v>
      </c>
    </row>
    <row r="604" ht="22.5" customHeight="1">
      <c r="A604" s="35">
        <v>45947.0</v>
      </c>
      <c r="B604" s="21" t="s">
        <v>139</v>
      </c>
      <c r="C604" s="21"/>
      <c r="D604" s="21" t="s">
        <v>215</v>
      </c>
      <c r="E604" s="21">
        <v>1.94</v>
      </c>
      <c r="F604" s="21">
        <v>1.94</v>
      </c>
      <c r="G604" s="30">
        <f t="shared" si="1"/>
        <v>1.94</v>
      </c>
      <c r="H604" s="30">
        <f t="shared" si="4"/>
        <v>1.94</v>
      </c>
      <c r="I604" s="31">
        <f t="shared" si="3"/>
        <v>0</v>
      </c>
    </row>
    <row r="605" ht="22.5" customHeight="1">
      <c r="A605" s="35">
        <v>45947.0</v>
      </c>
      <c r="B605" s="21" t="s">
        <v>139</v>
      </c>
      <c r="C605" s="21"/>
      <c r="D605" s="21" t="s">
        <v>216</v>
      </c>
      <c r="E605" s="21">
        <v>1.31</v>
      </c>
      <c r="F605" s="21">
        <v>1.68</v>
      </c>
      <c r="G605" s="30">
        <f t="shared" si="1"/>
        <v>1.495</v>
      </c>
      <c r="H605" s="30">
        <f t="shared" si="4"/>
        <v>1.5875</v>
      </c>
      <c r="I605" s="31">
        <f t="shared" si="3"/>
        <v>0.2474916388</v>
      </c>
    </row>
    <row r="606" ht="22.5" customHeight="1">
      <c r="A606" s="35">
        <v>45947.0</v>
      </c>
      <c r="B606" s="21" t="s">
        <v>133</v>
      </c>
      <c r="C606" s="21"/>
      <c r="D606" s="21" t="s">
        <v>217</v>
      </c>
      <c r="E606" s="21">
        <v>3800.0</v>
      </c>
      <c r="F606" s="21">
        <v>4400.0</v>
      </c>
      <c r="G606" s="30">
        <f t="shared" si="1"/>
        <v>4100</v>
      </c>
      <c r="H606" s="30">
        <f t="shared" si="4"/>
        <v>4250</v>
      </c>
      <c r="I606" s="31">
        <f t="shared" si="3"/>
        <v>0.1463414634</v>
      </c>
    </row>
    <row r="607" ht="22.5" customHeight="1">
      <c r="A607" s="35">
        <v>45947.0</v>
      </c>
      <c r="B607" s="21" t="s">
        <v>133</v>
      </c>
      <c r="C607" s="21"/>
      <c r="D607" s="21" t="s">
        <v>218</v>
      </c>
      <c r="E607" s="21">
        <v>2500.0</v>
      </c>
      <c r="F607" s="21">
        <v>3500.0</v>
      </c>
      <c r="G607" s="30">
        <f t="shared" si="1"/>
        <v>3000</v>
      </c>
      <c r="H607" s="30">
        <f t="shared" si="4"/>
        <v>3250</v>
      </c>
      <c r="I607" s="31">
        <f t="shared" si="3"/>
        <v>0.3333333333</v>
      </c>
    </row>
    <row r="608" ht="22.5" customHeight="1">
      <c r="A608" s="35">
        <v>45947.0</v>
      </c>
      <c r="B608" s="21" t="s">
        <v>133</v>
      </c>
      <c r="C608" s="21"/>
      <c r="D608" s="21" t="s">
        <v>219</v>
      </c>
      <c r="E608" s="21">
        <v>3000.0</v>
      </c>
      <c r="F608" s="21">
        <v>4200.0</v>
      </c>
      <c r="G608" s="30">
        <f t="shared" si="1"/>
        <v>3600</v>
      </c>
      <c r="H608" s="30">
        <f t="shared" si="4"/>
        <v>3900</v>
      </c>
      <c r="I608" s="31">
        <f t="shared" si="3"/>
        <v>0.3333333333</v>
      </c>
    </row>
    <row r="609" ht="22.5" customHeight="1">
      <c r="A609" s="35">
        <v>45947.0</v>
      </c>
      <c r="B609" s="21" t="s">
        <v>133</v>
      </c>
      <c r="C609" s="21"/>
      <c r="D609" s="21" t="s">
        <v>220</v>
      </c>
      <c r="E609" s="21">
        <v>1750.0</v>
      </c>
      <c r="F609" s="21">
        <v>2500.0</v>
      </c>
      <c r="G609" s="30">
        <f t="shared" si="1"/>
        <v>2125</v>
      </c>
      <c r="H609" s="30">
        <f t="shared" si="4"/>
        <v>2312.5</v>
      </c>
      <c r="I609" s="31">
        <f t="shared" si="3"/>
        <v>0.3529411765</v>
      </c>
    </row>
    <row r="610" ht="22.5" customHeight="1">
      <c r="A610" s="35">
        <v>45947.0</v>
      </c>
      <c r="B610" s="21" t="s">
        <v>120</v>
      </c>
      <c r="C610" s="21" t="s">
        <v>221</v>
      </c>
      <c r="D610" s="21" t="s">
        <v>222</v>
      </c>
      <c r="E610" s="21">
        <v>4.7</v>
      </c>
      <c r="F610" s="21">
        <v>6.2</v>
      </c>
      <c r="G610" s="30">
        <f t="shared" si="1"/>
        <v>5.45</v>
      </c>
      <c r="H610" s="30">
        <f t="shared" si="4"/>
        <v>5.825</v>
      </c>
      <c r="I610" s="31">
        <f t="shared" si="3"/>
        <v>0.2752293578</v>
      </c>
    </row>
    <row r="611" ht="22.5" customHeight="1">
      <c r="A611" s="35">
        <v>45947.0</v>
      </c>
      <c r="B611" s="21" t="s">
        <v>120</v>
      </c>
      <c r="C611" s="21" t="s">
        <v>223</v>
      </c>
      <c r="D611" s="21" t="s">
        <v>222</v>
      </c>
      <c r="E611" s="21">
        <v>3.4</v>
      </c>
      <c r="F611" s="21">
        <v>6.0</v>
      </c>
      <c r="G611" s="30">
        <f t="shared" si="1"/>
        <v>4.7</v>
      </c>
      <c r="H611" s="30">
        <f t="shared" si="4"/>
        <v>5.35</v>
      </c>
      <c r="I611" s="31">
        <f t="shared" si="3"/>
        <v>0.5531914894</v>
      </c>
    </row>
    <row r="612" ht="22.5" customHeight="1">
      <c r="A612" s="35">
        <v>45947.0</v>
      </c>
      <c r="B612" s="21" t="s">
        <v>120</v>
      </c>
      <c r="C612" s="21" t="s">
        <v>224</v>
      </c>
      <c r="D612" s="21" t="s">
        <v>222</v>
      </c>
      <c r="E612" s="21">
        <v>3.6</v>
      </c>
      <c r="F612" s="21">
        <v>5.15</v>
      </c>
      <c r="G612" s="30">
        <f t="shared" si="1"/>
        <v>4.375</v>
      </c>
      <c r="H612" s="30">
        <f t="shared" si="4"/>
        <v>4.7625</v>
      </c>
      <c r="I612" s="31">
        <f t="shared" si="3"/>
        <v>0.3542857143</v>
      </c>
    </row>
    <row r="613" ht="22.5" customHeight="1">
      <c r="A613" s="35">
        <v>45947.0</v>
      </c>
      <c r="B613" s="21" t="s">
        <v>120</v>
      </c>
      <c r="C613" s="21" t="s">
        <v>225</v>
      </c>
      <c r="D613" s="21" t="s">
        <v>222</v>
      </c>
      <c r="E613" s="21">
        <v>3.0</v>
      </c>
      <c r="F613" s="21">
        <v>4.55</v>
      </c>
      <c r="G613" s="30">
        <f t="shared" si="1"/>
        <v>3.775</v>
      </c>
      <c r="H613" s="30">
        <f t="shared" si="4"/>
        <v>4.1625</v>
      </c>
      <c r="I613" s="31">
        <f t="shared" si="3"/>
        <v>0.4105960265</v>
      </c>
    </row>
    <row r="614" ht="22.5" customHeight="1">
      <c r="A614" s="35">
        <v>45947.0</v>
      </c>
      <c r="B614" s="21" t="s">
        <v>120</v>
      </c>
      <c r="C614" s="21" t="s">
        <v>226</v>
      </c>
      <c r="D614" s="21" t="s">
        <v>222</v>
      </c>
      <c r="E614" s="21">
        <v>3.0</v>
      </c>
      <c r="F614" s="21">
        <v>4.05</v>
      </c>
      <c r="G614" s="30">
        <f t="shared" si="1"/>
        <v>3.525</v>
      </c>
      <c r="H614" s="30">
        <f t="shared" si="4"/>
        <v>3.7875</v>
      </c>
      <c r="I614" s="31">
        <f t="shared" si="3"/>
        <v>0.2978723404</v>
      </c>
    </row>
    <row r="615" ht="22.5" customHeight="1">
      <c r="A615" s="35">
        <v>45947.0</v>
      </c>
      <c r="B615" s="21" t="s">
        <v>120</v>
      </c>
      <c r="C615" s="21" t="s">
        <v>227</v>
      </c>
      <c r="D615" s="21" t="s">
        <v>222</v>
      </c>
      <c r="E615" s="21">
        <v>2.5</v>
      </c>
      <c r="F615" s="21">
        <v>3.67</v>
      </c>
      <c r="G615" s="30">
        <f t="shared" si="1"/>
        <v>3.085</v>
      </c>
      <c r="H615" s="30">
        <f t="shared" si="4"/>
        <v>3.3775</v>
      </c>
      <c r="I615" s="31">
        <f t="shared" si="3"/>
        <v>0.3792544571</v>
      </c>
    </row>
    <row r="616" ht="22.5" customHeight="1">
      <c r="A616" s="35">
        <v>45947.0</v>
      </c>
      <c r="B616" s="21" t="s">
        <v>120</v>
      </c>
      <c r="C616" s="21" t="s">
        <v>228</v>
      </c>
      <c r="D616" s="21" t="s">
        <v>222</v>
      </c>
      <c r="E616" s="21">
        <v>2.1</v>
      </c>
      <c r="F616" s="21">
        <v>3.4</v>
      </c>
      <c r="G616" s="30">
        <f t="shared" si="1"/>
        <v>2.75</v>
      </c>
      <c r="H616" s="30">
        <f t="shared" si="4"/>
        <v>3.075</v>
      </c>
      <c r="I616" s="31">
        <f t="shared" si="3"/>
        <v>0.4727272727</v>
      </c>
    </row>
    <row r="617" ht="22.5" customHeight="1">
      <c r="A617" s="35">
        <v>45947.0</v>
      </c>
      <c r="B617" s="21" t="s">
        <v>120</v>
      </c>
      <c r="C617" s="21" t="s">
        <v>229</v>
      </c>
      <c r="D617" s="21" t="s">
        <v>222</v>
      </c>
      <c r="E617" s="21">
        <v>2.1</v>
      </c>
      <c r="F617" s="21">
        <v>3.3</v>
      </c>
      <c r="G617" s="30">
        <f t="shared" si="1"/>
        <v>2.7</v>
      </c>
      <c r="H617" s="30">
        <f t="shared" si="4"/>
        <v>3</v>
      </c>
      <c r="I617" s="31">
        <f t="shared" si="3"/>
        <v>0.4444444444</v>
      </c>
    </row>
    <row r="618" ht="22.5" customHeight="1">
      <c r="A618" s="35">
        <v>45947.0</v>
      </c>
      <c r="B618" s="21" t="s">
        <v>129</v>
      </c>
      <c r="C618" s="21" t="s">
        <v>221</v>
      </c>
      <c r="D618" s="21" t="s">
        <v>222</v>
      </c>
      <c r="E618" s="21">
        <v>4.8</v>
      </c>
      <c r="F618" s="21">
        <v>6.35</v>
      </c>
      <c r="G618" s="30">
        <f t="shared" si="1"/>
        <v>5.575</v>
      </c>
      <c r="H618" s="30">
        <f t="shared" si="4"/>
        <v>5.9625</v>
      </c>
      <c r="I618" s="31">
        <f t="shared" si="3"/>
        <v>0.2780269058</v>
      </c>
    </row>
    <row r="619" ht="22.5" customHeight="1">
      <c r="A619" s="35">
        <v>45947.0</v>
      </c>
      <c r="B619" s="21" t="s">
        <v>129</v>
      </c>
      <c r="C619" s="21" t="s">
        <v>223</v>
      </c>
      <c r="D619" s="21" t="s">
        <v>222</v>
      </c>
      <c r="E619" s="21">
        <v>3.52</v>
      </c>
      <c r="F619" s="21">
        <v>5.75</v>
      </c>
      <c r="G619" s="30">
        <f t="shared" si="1"/>
        <v>4.635</v>
      </c>
      <c r="H619" s="30">
        <f t="shared" si="4"/>
        <v>5.1925</v>
      </c>
      <c r="I619" s="31">
        <f t="shared" si="3"/>
        <v>0.4811218986</v>
      </c>
    </row>
    <row r="620" ht="22.5" customHeight="1">
      <c r="A620" s="35">
        <v>45947.0</v>
      </c>
      <c r="B620" s="21" t="s">
        <v>129</v>
      </c>
      <c r="C620" s="21" t="s">
        <v>224</v>
      </c>
      <c r="D620" s="21" t="s">
        <v>222</v>
      </c>
      <c r="E620" s="21">
        <v>3.0</v>
      </c>
      <c r="F620" s="21">
        <v>4.2</v>
      </c>
      <c r="G620" s="30">
        <f t="shared" si="1"/>
        <v>3.6</v>
      </c>
      <c r="H620" s="30">
        <f t="shared" si="4"/>
        <v>3.9</v>
      </c>
      <c r="I620" s="31">
        <f t="shared" si="3"/>
        <v>0.3333333333</v>
      </c>
    </row>
    <row r="621" ht="22.5" customHeight="1">
      <c r="A621" s="35">
        <v>45947.0</v>
      </c>
      <c r="B621" s="21" t="s">
        <v>129</v>
      </c>
      <c r="C621" s="21" t="s">
        <v>225</v>
      </c>
      <c r="D621" s="21" t="s">
        <v>222</v>
      </c>
      <c r="E621" s="21">
        <v>3.1</v>
      </c>
      <c r="F621" s="21">
        <v>3.9</v>
      </c>
      <c r="G621" s="30">
        <f t="shared" si="1"/>
        <v>3.5</v>
      </c>
      <c r="H621" s="30">
        <f t="shared" si="4"/>
        <v>3.7</v>
      </c>
      <c r="I621" s="31">
        <f t="shared" si="3"/>
        <v>0.2285714286</v>
      </c>
    </row>
    <row r="622" ht="22.5" customHeight="1">
      <c r="A622" s="35">
        <v>45947.0</v>
      </c>
      <c r="B622" s="21" t="s">
        <v>129</v>
      </c>
      <c r="C622" s="21" t="s">
        <v>226</v>
      </c>
      <c r="D622" s="21" t="s">
        <v>222</v>
      </c>
      <c r="E622" s="21">
        <v>2.65</v>
      </c>
      <c r="F622" s="21">
        <v>4.2</v>
      </c>
      <c r="G622" s="30">
        <f t="shared" si="1"/>
        <v>3.425</v>
      </c>
      <c r="H622" s="30">
        <f t="shared" si="4"/>
        <v>3.8125</v>
      </c>
      <c r="I622" s="31">
        <f t="shared" si="3"/>
        <v>0.4525547445</v>
      </c>
    </row>
    <row r="623" ht="22.5" customHeight="1">
      <c r="A623" s="35">
        <v>45947.0</v>
      </c>
      <c r="B623" s="21" t="s">
        <v>129</v>
      </c>
      <c r="C623" s="21" t="s">
        <v>227</v>
      </c>
      <c r="D623" s="21" t="s">
        <v>222</v>
      </c>
      <c r="E623" s="21">
        <v>2.2</v>
      </c>
      <c r="F623" s="21">
        <v>3.6</v>
      </c>
      <c r="G623" s="30">
        <f t="shared" si="1"/>
        <v>2.9</v>
      </c>
      <c r="H623" s="30">
        <f t="shared" si="4"/>
        <v>3.25</v>
      </c>
      <c r="I623" s="31">
        <f t="shared" si="3"/>
        <v>0.4827586207</v>
      </c>
    </row>
    <row r="624" ht="22.5" customHeight="1">
      <c r="A624" s="35">
        <v>45947.0</v>
      </c>
      <c r="B624" s="21" t="s">
        <v>129</v>
      </c>
      <c r="C624" s="21" t="s">
        <v>228</v>
      </c>
      <c r="D624" s="21" t="s">
        <v>222</v>
      </c>
      <c r="E624" s="21">
        <v>2.2</v>
      </c>
      <c r="F624" s="21">
        <v>3.02</v>
      </c>
      <c r="G624" s="30">
        <f t="shared" si="1"/>
        <v>2.61</v>
      </c>
      <c r="H624" s="30">
        <f t="shared" si="4"/>
        <v>2.815</v>
      </c>
      <c r="I624" s="31">
        <f t="shared" si="3"/>
        <v>0.3141762452</v>
      </c>
    </row>
    <row r="625" ht="22.5" customHeight="1">
      <c r="A625" s="35">
        <v>45947.0</v>
      </c>
      <c r="B625" s="21" t="s">
        <v>129</v>
      </c>
      <c r="C625" s="21" t="s">
        <v>229</v>
      </c>
      <c r="D625" s="21" t="s">
        <v>222</v>
      </c>
      <c r="E625" s="21">
        <v>1.76</v>
      </c>
      <c r="F625" s="21">
        <v>2.77</v>
      </c>
      <c r="G625" s="30">
        <f t="shared" si="1"/>
        <v>2.265</v>
      </c>
      <c r="H625" s="30">
        <f t="shared" si="4"/>
        <v>2.5175</v>
      </c>
      <c r="I625" s="31">
        <f t="shared" si="3"/>
        <v>0.4459161148</v>
      </c>
    </row>
    <row r="626" ht="22.5" customHeight="1">
      <c r="A626" s="35">
        <v>45954.0</v>
      </c>
      <c r="B626" s="21" t="s">
        <v>136</v>
      </c>
      <c r="C626" s="21"/>
      <c r="D626" s="21" t="s">
        <v>210</v>
      </c>
      <c r="E626" s="21">
        <v>1.1</v>
      </c>
      <c r="F626" s="21">
        <v>1.33</v>
      </c>
      <c r="G626" s="30">
        <f t="shared" si="1"/>
        <v>1.215</v>
      </c>
      <c r="H626" s="30">
        <f t="shared" si="4"/>
        <v>1.2725</v>
      </c>
      <c r="I626" s="31">
        <f t="shared" si="3"/>
        <v>0.1893004115</v>
      </c>
    </row>
    <row r="627" ht="22.5" customHeight="1">
      <c r="A627" s="35">
        <v>45954.0</v>
      </c>
      <c r="B627" s="21" t="s">
        <v>136</v>
      </c>
      <c r="C627" s="21"/>
      <c r="D627" s="21" t="s">
        <v>211</v>
      </c>
      <c r="E627" s="21">
        <v>1.34</v>
      </c>
      <c r="F627" s="21">
        <v>1.53</v>
      </c>
      <c r="G627" s="30">
        <f t="shared" si="1"/>
        <v>1.435</v>
      </c>
      <c r="H627" s="30">
        <f t="shared" si="4"/>
        <v>1.4825</v>
      </c>
      <c r="I627" s="31">
        <f t="shared" si="3"/>
        <v>0.1324041812</v>
      </c>
    </row>
    <row r="628" ht="22.5" customHeight="1">
      <c r="A628" s="35">
        <v>45954.0</v>
      </c>
      <c r="B628" s="21" t="s">
        <v>136</v>
      </c>
      <c r="C628" s="21"/>
      <c r="D628" s="21" t="s">
        <v>212</v>
      </c>
      <c r="E628" s="21">
        <v>1.56</v>
      </c>
      <c r="F628" s="21">
        <v>1.75</v>
      </c>
      <c r="G628" s="30">
        <f t="shared" si="1"/>
        <v>1.655</v>
      </c>
      <c r="H628" s="30">
        <f t="shared" si="4"/>
        <v>1.7025</v>
      </c>
      <c r="I628" s="31">
        <f t="shared" si="3"/>
        <v>0.1148036254</v>
      </c>
    </row>
    <row r="629" ht="22.5" customHeight="1">
      <c r="A629" s="35">
        <v>45954.0</v>
      </c>
      <c r="B629" s="21" t="s">
        <v>139</v>
      </c>
      <c r="C629" s="21"/>
      <c r="D629" s="21" t="s">
        <v>214</v>
      </c>
      <c r="E629" s="21">
        <v>1.64</v>
      </c>
      <c r="F629" s="21">
        <v>1.72</v>
      </c>
      <c r="G629" s="30">
        <f t="shared" si="1"/>
        <v>1.68</v>
      </c>
      <c r="H629" s="30">
        <f t="shared" si="4"/>
        <v>1.7</v>
      </c>
      <c r="I629" s="31">
        <f t="shared" si="3"/>
        <v>0.04761904762</v>
      </c>
    </row>
    <row r="630" ht="22.5" customHeight="1">
      <c r="A630" s="35">
        <v>45954.0</v>
      </c>
      <c r="B630" s="21" t="s">
        <v>139</v>
      </c>
      <c r="C630" s="21"/>
      <c r="D630" s="21" t="s">
        <v>215</v>
      </c>
      <c r="E630" s="21">
        <v>2.1</v>
      </c>
      <c r="F630" s="21">
        <v>2.1</v>
      </c>
      <c r="G630" s="30">
        <f t="shared" si="1"/>
        <v>2.1</v>
      </c>
      <c r="H630" s="30">
        <f t="shared" si="4"/>
        <v>2.1</v>
      </c>
      <c r="I630" s="31">
        <f t="shared" si="3"/>
        <v>0</v>
      </c>
    </row>
    <row r="631" ht="22.5" customHeight="1">
      <c r="A631" s="35">
        <v>45954.0</v>
      </c>
      <c r="B631" s="21" t="s">
        <v>139</v>
      </c>
      <c r="C631" s="21"/>
      <c r="D631" s="21" t="s">
        <v>216</v>
      </c>
      <c r="E631" s="21">
        <v>1.31</v>
      </c>
      <c r="F631" s="21">
        <v>1.68</v>
      </c>
      <c r="G631" s="30">
        <f t="shared" si="1"/>
        <v>1.495</v>
      </c>
      <c r="H631" s="30">
        <f t="shared" si="4"/>
        <v>1.5875</v>
      </c>
      <c r="I631" s="31">
        <f t="shared" si="3"/>
        <v>0.2474916388</v>
      </c>
    </row>
    <row r="632" ht="22.5" customHeight="1">
      <c r="A632" s="35">
        <v>45954.0</v>
      </c>
      <c r="B632" s="21" t="s">
        <v>133</v>
      </c>
      <c r="C632" s="21"/>
      <c r="D632" s="21" t="s">
        <v>217</v>
      </c>
      <c r="E632" s="21">
        <v>3500.0</v>
      </c>
      <c r="F632" s="21">
        <v>4250.0</v>
      </c>
      <c r="G632" s="30">
        <f t="shared" si="1"/>
        <v>3875</v>
      </c>
      <c r="H632" s="30">
        <f t="shared" si="4"/>
        <v>4062.5</v>
      </c>
      <c r="I632" s="31">
        <f t="shared" si="3"/>
        <v>0.1935483871</v>
      </c>
    </row>
    <row r="633" ht="22.5" customHeight="1">
      <c r="A633" s="35">
        <v>45954.0</v>
      </c>
      <c r="B633" s="21" t="s">
        <v>133</v>
      </c>
      <c r="C633" s="21"/>
      <c r="D633" s="21" t="s">
        <v>218</v>
      </c>
      <c r="E633" s="21">
        <v>2500.0</v>
      </c>
      <c r="F633" s="21">
        <v>3200.0</v>
      </c>
      <c r="G633" s="30">
        <f t="shared" si="1"/>
        <v>2850</v>
      </c>
      <c r="H633" s="30">
        <f t="shared" si="4"/>
        <v>3025</v>
      </c>
      <c r="I633" s="31">
        <f t="shared" si="3"/>
        <v>0.2456140351</v>
      </c>
    </row>
    <row r="634" ht="22.5" customHeight="1">
      <c r="A634" s="35">
        <v>45954.0</v>
      </c>
      <c r="B634" s="21" t="s">
        <v>133</v>
      </c>
      <c r="C634" s="21"/>
      <c r="D634" s="21" t="s">
        <v>219</v>
      </c>
      <c r="E634" s="21">
        <v>2800.0</v>
      </c>
      <c r="F634" s="21">
        <v>3800.0</v>
      </c>
      <c r="G634" s="30">
        <f t="shared" si="1"/>
        <v>3300</v>
      </c>
      <c r="H634" s="30">
        <f t="shared" si="4"/>
        <v>3550</v>
      </c>
      <c r="I634" s="31">
        <f t="shared" si="3"/>
        <v>0.303030303</v>
      </c>
    </row>
    <row r="635" ht="22.5" customHeight="1">
      <c r="A635" s="35">
        <v>45954.0</v>
      </c>
      <c r="B635" s="21" t="s">
        <v>133</v>
      </c>
      <c r="C635" s="21"/>
      <c r="D635" s="21" t="s">
        <v>220</v>
      </c>
      <c r="E635" s="21">
        <v>1750.0</v>
      </c>
      <c r="F635" s="21">
        <v>2500.0</v>
      </c>
      <c r="G635" s="30">
        <f t="shared" si="1"/>
        <v>2125</v>
      </c>
      <c r="H635" s="30">
        <f t="shared" si="4"/>
        <v>2312.5</v>
      </c>
      <c r="I635" s="31">
        <f t="shared" si="3"/>
        <v>0.3529411765</v>
      </c>
    </row>
    <row r="636" ht="22.5" customHeight="1">
      <c r="A636" s="35">
        <v>45954.0</v>
      </c>
      <c r="B636" s="21" t="s">
        <v>120</v>
      </c>
      <c r="C636" s="21" t="s">
        <v>221</v>
      </c>
      <c r="D636" s="21" t="s">
        <v>222</v>
      </c>
      <c r="E636" s="21">
        <v>4.7</v>
      </c>
      <c r="F636" s="21">
        <v>5.9</v>
      </c>
      <c r="G636" s="30">
        <f t="shared" si="1"/>
        <v>5.3</v>
      </c>
      <c r="H636" s="30">
        <f t="shared" si="4"/>
        <v>5.6</v>
      </c>
      <c r="I636" s="31">
        <f t="shared" si="3"/>
        <v>0.2264150943</v>
      </c>
    </row>
    <row r="637" ht="22.5" customHeight="1">
      <c r="A637" s="35">
        <v>45954.0</v>
      </c>
      <c r="B637" s="21" t="s">
        <v>120</v>
      </c>
      <c r="C637" s="21" t="s">
        <v>223</v>
      </c>
      <c r="D637" s="21" t="s">
        <v>222</v>
      </c>
      <c r="E637" s="21">
        <v>3.4</v>
      </c>
      <c r="F637" s="21">
        <v>5.8</v>
      </c>
      <c r="G637" s="30">
        <f t="shared" si="1"/>
        <v>4.6</v>
      </c>
      <c r="H637" s="30">
        <f t="shared" si="4"/>
        <v>5.2</v>
      </c>
      <c r="I637" s="31">
        <f t="shared" si="3"/>
        <v>0.5217391304</v>
      </c>
    </row>
    <row r="638" ht="22.5" customHeight="1">
      <c r="A638" s="35">
        <v>45954.0</v>
      </c>
      <c r="B638" s="21" t="s">
        <v>120</v>
      </c>
      <c r="C638" s="21" t="s">
        <v>224</v>
      </c>
      <c r="D638" s="21" t="s">
        <v>222</v>
      </c>
      <c r="E638" s="21">
        <v>3.6</v>
      </c>
      <c r="F638" s="21">
        <v>5.45</v>
      </c>
      <c r="G638" s="30">
        <f t="shared" si="1"/>
        <v>4.525</v>
      </c>
      <c r="H638" s="30">
        <f t="shared" si="4"/>
        <v>4.9875</v>
      </c>
      <c r="I638" s="31">
        <f t="shared" si="3"/>
        <v>0.408839779</v>
      </c>
    </row>
    <row r="639" ht="22.5" customHeight="1">
      <c r="A639" s="35">
        <v>45954.0</v>
      </c>
      <c r="B639" s="21" t="s">
        <v>120</v>
      </c>
      <c r="C639" s="21" t="s">
        <v>225</v>
      </c>
      <c r="D639" s="21" t="s">
        <v>222</v>
      </c>
      <c r="E639" s="21">
        <v>3.0</v>
      </c>
      <c r="F639" s="21">
        <v>4.65</v>
      </c>
      <c r="G639" s="30">
        <f t="shared" si="1"/>
        <v>3.825</v>
      </c>
      <c r="H639" s="30">
        <f t="shared" si="4"/>
        <v>4.2375</v>
      </c>
      <c r="I639" s="31">
        <f t="shared" si="3"/>
        <v>0.431372549</v>
      </c>
    </row>
    <row r="640" ht="22.5" customHeight="1">
      <c r="A640" s="35">
        <v>45954.0</v>
      </c>
      <c r="B640" s="21" t="s">
        <v>120</v>
      </c>
      <c r="C640" s="21" t="s">
        <v>226</v>
      </c>
      <c r="D640" s="21" t="s">
        <v>222</v>
      </c>
      <c r="E640" s="21">
        <v>3.0</v>
      </c>
      <c r="F640" s="21">
        <v>3.95</v>
      </c>
      <c r="G640" s="30">
        <f t="shared" si="1"/>
        <v>3.475</v>
      </c>
      <c r="H640" s="30">
        <f t="shared" si="4"/>
        <v>3.7125</v>
      </c>
      <c r="I640" s="31">
        <f t="shared" si="3"/>
        <v>0.273381295</v>
      </c>
    </row>
    <row r="641" ht="22.5" customHeight="1">
      <c r="A641" s="35">
        <v>45954.0</v>
      </c>
      <c r="B641" s="21" t="s">
        <v>120</v>
      </c>
      <c r="C641" s="21" t="s">
        <v>227</v>
      </c>
      <c r="D641" s="21" t="s">
        <v>222</v>
      </c>
      <c r="E641" s="21">
        <v>2.5</v>
      </c>
      <c r="F641" s="21">
        <v>3.47</v>
      </c>
      <c r="G641" s="30">
        <f t="shared" si="1"/>
        <v>2.985</v>
      </c>
      <c r="H641" s="30">
        <f t="shared" si="4"/>
        <v>3.2275</v>
      </c>
      <c r="I641" s="31">
        <f t="shared" si="3"/>
        <v>0.324958124</v>
      </c>
    </row>
    <row r="642" ht="22.5" customHeight="1">
      <c r="A642" s="35">
        <v>45954.0</v>
      </c>
      <c r="B642" s="21" t="s">
        <v>120</v>
      </c>
      <c r="C642" s="21" t="s">
        <v>228</v>
      </c>
      <c r="D642" s="21" t="s">
        <v>222</v>
      </c>
      <c r="E642" s="21">
        <v>2.1</v>
      </c>
      <c r="F642" s="21">
        <v>3.32</v>
      </c>
      <c r="G642" s="30">
        <f t="shared" si="1"/>
        <v>2.71</v>
      </c>
      <c r="H642" s="30">
        <f t="shared" si="4"/>
        <v>3.015</v>
      </c>
      <c r="I642" s="31">
        <f t="shared" si="3"/>
        <v>0.4501845018</v>
      </c>
    </row>
    <row r="643" ht="22.5" customHeight="1">
      <c r="A643" s="35">
        <v>45954.0</v>
      </c>
      <c r="B643" s="21" t="s">
        <v>120</v>
      </c>
      <c r="C643" s="21" t="s">
        <v>229</v>
      </c>
      <c r="D643" s="21" t="s">
        <v>222</v>
      </c>
      <c r="E643" s="21">
        <v>2.1</v>
      </c>
      <c r="F643" s="21">
        <v>3.19</v>
      </c>
      <c r="G643" s="30">
        <f t="shared" si="1"/>
        <v>2.645</v>
      </c>
      <c r="H643" s="30">
        <f t="shared" si="4"/>
        <v>2.9175</v>
      </c>
      <c r="I643" s="31">
        <f t="shared" si="3"/>
        <v>0.4120982987</v>
      </c>
    </row>
    <row r="644" ht="22.5" customHeight="1">
      <c r="A644" s="35">
        <v>45954.0</v>
      </c>
      <c r="B644" s="21" t="s">
        <v>129</v>
      </c>
      <c r="C644" s="21" t="s">
        <v>221</v>
      </c>
      <c r="D644" s="21" t="s">
        <v>222</v>
      </c>
      <c r="E644" s="21">
        <v>4.8</v>
      </c>
      <c r="F644" s="21">
        <v>5.95</v>
      </c>
      <c r="G644" s="30">
        <f t="shared" si="1"/>
        <v>5.375</v>
      </c>
      <c r="H644" s="30">
        <f t="shared" si="4"/>
        <v>5.6625</v>
      </c>
      <c r="I644" s="31">
        <f t="shared" si="3"/>
        <v>0.2139534884</v>
      </c>
    </row>
    <row r="645" ht="22.5" customHeight="1">
      <c r="A645" s="35">
        <v>45954.0</v>
      </c>
      <c r="B645" s="21" t="s">
        <v>129</v>
      </c>
      <c r="C645" s="21" t="s">
        <v>223</v>
      </c>
      <c r="D645" s="21" t="s">
        <v>222</v>
      </c>
      <c r="E645" s="21">
        <v>3.52</v>
      </c>
      <c r="F645" s="21">
        <v>5.5</v>
      </c>
      <c r="G645" s="30">
        <f t="shared" si="1"/>
        <v>4.51</v>
      </c>
      <c r="H645" s="30">
        <f t="shared" si="4"/>
        <v>5.005</v>
      </c>
      <c r="I645" s="31">
        <f t="shared" si="3"/>
        <v>0.4390243902</v>
      </c>
    </row>
    <row r="646" ht="22.5" customHeight="1">
      <c r="A646" s="35">
        <v>45954.0</v>
      </c>
      <c r="B646" s="21" t="s">
        <v>129</v>
      </c>
      <c r="C646" s="21" t="s">
        <v>224</v>
      </c>
      <c r="D646" s="21" t="s">
        <v>222</v>
      </c>
      <c r="E646" s="21">
        <v>3.0</v>
      </c>
      <c r="F646" s="21">
        <v>4.8</v>
      </c>
      <c r="G646" s="30">
        <f t="shared" si="1"/>
        <v>3.9</v>
      </c>
      <c r="H646" s="30">
        <f t="shared" si="4"/>
        <v>4.35</v>
      </c>
      <c r="I646" s="31">
        <f t="shared" si="3"/>
        <v>0.4615384615</v>
      </c>
    </row>
    <row r="647" ht="22.5" customHeight="1">
      <c r="A647" s="35">
        <v>45954.0</v>
      </c>
      <c r="B647" s="21" t="s">
        <v>129</v>
      </c>
      <c r="C647" s="21" t="s">
        <v>225</v>
      </c>
      <c r="D647" s="21" t="s">
        <v>222</v>
      </c>
      <c r="E647" s="21">
        <v>3.1</v>
      </c>
      <c r="F647" s="21">
        <v>4.35</v>
      </c>
      <c r="G647" s="30">
        <f t="shared" si="1"/>
        <v>3.725</v>
      </c>
      <c r="H647" s="30">
        <f t="shared" si="4"/>
        <v>4.0375</v>
      </c>
      <c r="I647" s="31">
        <f t="shared" si="3"/>
        <v>0.3355704698</v>
      </c>
    </row>
    <row r="648" ht="22.5" customHeight="1">
      <c r="A648" s="35">
        <v>45954.0</v>
      </c>
      <c r="B648" s="21" t="s">
        <v>129</v>
      </c>
      <c r="C648" s="21" t="s">
        <v>226</v>
      </c>
      <c r="D648" s="21" t="s">
        <v>222</v>
      </c>
      <c r="E648" s="21">
        <v>2.65</v>
      </c>
      <c r="F648" s="21">
        <v>4.12</v>
      </c>
      <c r="G648" s="30">
        <f t="shared" si="1"/>
        <v>3.385</v>
      </c>
      <c r="H648" s="30">
        <f t="shared" si="4"/>
        <v>3.7525</v>
      </c>
      <c r="I648" s="31">
        <f t="shared" si="3"/>
        <v>0.4342688331</v>
      </c>
    </row>
    <row r="649" ht="22.5" customHeight="1">
      <c r="A649" s="35">
        <v>45954.0</v>
      </c>
      <c r="B649" s="21" t="s">
        <v>129</v>
      </c>
      <c r="C649" s="21" t="s">
        <v>227</v>
      </c>
      <c r="D649" s="21" t="s">
        <v>222</v>
      </c>
      <c r="E649" s="21">
        <v>2.2</v>
      </c>
      <c r="F649" s="21">
        <v>3.4</v>
      </c>
      <c r="G649" s="30">
        <f t="shared" si="1"/>
        <v>2.8</v>
      </c>
      <c r="H649" s="30">
        <f t="shared" si="4"/>
        <v>3.1</v>
      </c>
      <c r="I649" s="31">
        <f t="shared" si="3"/>
        <v>0.4285714286</v>
      </c>
    </row>
    <row r="650" ht="22.5" customHeight="1">
      <c r="A650" s="35">
        <v>45954.0</v>
      </c>
      <c r="B650" s="21" t="s">
        <v>129</v>
      </c>
      <c r="C650" s="21" t="s">
        <v>228</v>
      </c>
      <c r="D650" s="21" t="s">
        <v>222</v>
      </c>
      <c r="E650" s="21">
        <v>2.2</v>
      </c>
      <c r="F650" s="21">
        <v>3.02</v>
      </c>
      <c r="G650" s="30">
        <f t="shared" si="1"/>
        <v>2.61</v>
      </c>
      <c r="H650" s="30">
        <f t="shared" si="4"/>
        <v>2.815</v>
      </c>
      <c r="I650" s="31">
        <f t="shared" si="3"/>
        <v>0.3141762452</v>
      </c>
    </row>
    <row r="651" ht="22.5" customHeight="1">
      <c r="A651" s="35">
        <v>45954.0</v>
      </c>
      <c r="B651" s="21" t="s">
        <v>129</v>
      </c>
      <c r="C651" s="21" t="s">
        <v>229</v>
      </c>
      <c r="D651" s="21" t="s">
        <v>222</v>
      </c>
      <c r="E651" s="21">
        <v>1.76</v>
      </c>
      <c r="F651" s="21">
        <v>2.72</v>
      </c>
      <c r="G651" s="30">
        <f t="shared" si="1"/>
        <v>2.24</v>
      </c>
      <c r="H651" s="30">
        <f t="shared" si="4"/>
        <v>2.48</v>
      </c>
      <c r="I651" s="31">
        <f t="shared" si="3"/>
        <v>0.4285714286</v>
      </c>
    </row>
    <row r="652" ht="22.5" customHeight="1">
      <c r="A652" s="35">
        <v>45968.0</v>
      </c>
      <c r="B652" s="21" t="s">
        <v>136</v>
      </c>
      <c r="C652" s="21"/>
      <c r="D652" s="21" t="s">
        <v>210</v>
      </c>
      <c r="E652" s="21">
        <v>0.75</v>
      </c>
      <c r="F652" s="21">
        <v>1.3</v>
      </c>
      <c r="G652" s="30">
        <f t="shared" si="1"/>
        <v>1.025</v>
      </c>
      <c r="H652" s="30">
        <f t="shared" si="4"/>
        <v>1.1625</v>
      </c>
      <c r="I652" s="31">
        <f t="shared" si="3"/>
        <v>0.5365853659</v>
      </c>
    </row>
    <row r="653" ht="22.5" customHeight="1">
      <c r="A653" s="35">
        <v>45968.0</v>
      </c>
      <c r="B653" s="21" t="s">
        <v>136</v>
      </c>
      <c r="C653" s="21"/>
      <c r="D653" s="21" t="s">
        <v>211</v>
      </c>
      <c r="E653" s="21">
        <v>1.3</v>
      </c>
      <c r="F653" s="21">
        <v>1.53</v>
      </c>
      <c r="G653" s="30">
        <f t="shared" si="1"/>
        <v>1.415</v>
      </c>
      <c r="H653" s="30">
        <f t="shared" si="4"/>
        <v>1.4725</v>
      </c>
      <c r="I653" s="31">
        <f t="shared" si="3"/>
        <v>0.1625441696</v>
      </c>
    </row>
    <row r="654" ht="22.5" customHeight="1">
      <c r="A654" s="35">
        <v>45968.0</v>
      </c>
      <c r="B654" s="21" t="s">
        <v>136</v>
      </c>
      <c r="C654" s="21"/>
      <c r="D654" s="21" t="s">
        <v>212</v>
      </c>
      <c r="E654" s="21">
        <v>1.5</v>
      </c>
      <c r="F654" s="21">
        <v>1.81</v>
      </c>
      <c r="G654" s="30">
        <f t="shared" si="1"/>
        <v>1.655</v>
      </c>
      <c r="H654" s="30">
        <f t="shared" si="4"/>
        <v>1.7325</v>
      </c>
      <c r="I654" s="31">
        <f t="shared" si="3"/>
        <v>0.1873111782</v>
      </c>
    </row>
    <row r="655" ht="22.5" customHeight="1">
      <c r="A655" s="35">
        <v>45968.0</v>
      </c>
      <c r="B655" s="21" t="s">
        <v>139</v>
      </c>
      <c r="C655" s="21"/>
      <c r="D655" s="21" t="s">
        <v>214</v>
      </c>
      <c r="E655" s="21">
        <v>1.64</v>
      </c>
      <c r="F655" s="21">
        <v>1.76</v>
      </c>
      <c r="G655" s="30">
        <f t="shared" si="1"/>
        <v>1.7</v>
      </c>
      <c r="H655" s="30">
        <f t="shared" si="4"/>
        <v>1.73</v>
      </c>
      <c r="I655" s="31">
        <f t="shared" si="3"/>
        <v>0.07058823529</v>
      </c>
    </row>
    <row r="656" ht="22.5" customHeight="1">
      <c r="A656" s="35">
        <v>45968.0</v>
      </c>
      <c r="B656" s="21" t="s">
        <v>139</v>
      </c>
      <c r="C656" s="21"/>
      <c r="D656" s="21" t="s">
        <v>215</v>
      </c>
      <c r="E656" s="21">
        <v>1.86</v>
      </c>
      <c r="F656" s="21">
        <v>1.86</v>
      </c>
      <c r="G656" s="30">
        <f t="shared" si="1"/>
        <v>1.86</v>
      </c>
      <c r="H656" s="30">
        <f t="shared" si="4"/>
        <v>1.86</v>
      </c>
      <c r="I656" s="31">
        <f t="shared" si="3"/>
        <v>0</v>
      </c>
    </row>
    <row r="657" ht="22.5" customHeight="1">
      <c r="A657" s="35">
        <v>45968.0</v>
      </c>
      <c r="B657" s="21" t="s">
        <v>139</v>
      </c>
      <c r="C657" s="21"/>
      <c r="D657" s="21" t="s">
        <v>216</v>
      </c>
      <c r="E657" s="21">
        <v>1.31</v>
      </c>
      <c r="F657" s="21">
        <v>1.65</v>
      </c>
      <c r="G657" s="30">
        <f t="shared" si="1"/>
        <v>1.48</v>
      </c>
      <c r="H657" s="30">
        <f t="shared" si="4"/>
        <v>1.565</v>
      </c>
      <c r="I657" s="31">
        <f t="shared" si="3"/>
        <v>0.2297297297</v>
      </c>
    </row>
    <row r="658" ht="22.5" customHeight="1">
      <c r="A658" s="35">
        <v>45968.0</v>
      </c>
      <c r="B658" s="21" t="s">
        <v>133</v>
      </c>
      <c r="C658" s="21"/>
      <c r="D658" s="21" t="s">
        <v>217</v>
      </c>
      <c r="E658" s="21">
        <v>3500.0</v>
      </c>
      <c r="F658" s="21">
        <v>4250.0</v>
      </c>
      <c r="G658" s="30">
        <f t="shared" si="1"/>
        <v>3875</v>
      </c>
      <c r="H658" s="30">
        <f t="shared" si="4"/>
        <v>4062.5</v>
      </c>
      <c r="I658" s="31">
        <f t="shared" si="3"/>
        <v>0.1935483871</v>
      </c>
    </row>
    <row r="659" ht="22.5" customHeight="1">
      <c r="A659" s="35">
        <v>45968.0</v>
      </c>
      <c r="B659" s="21" t="s">
        <v>133</v>
      </c>
      <c r="C659" s="21"/>
      <c r="D659" s="21" t="s">
        <v>218</v>
      </c>
      <c r="E659" s="21">
        <v>2500.0</v>
      </c>
      <c r="F659" s="21">
        <v>3200.0</v>
      </c>
      <c r="G659" s="30">
        <f t="shared" si="1"/>
        <v>2850</v>
      </c>
      <c r="H659" s="30">
        <f t="shared" si="4"/>
        <v>3025</v>
      </c>
      <c r="I659" s="31">
        <f t="shared" si="3"/>
        <v>0.2456140351</v>
      </c>
    </row>
    <row r="660" ht="22.5" customHeight="1">
      <c r="A660" s="35">
        <v>45968.0</v>
      </c>
      <c r="B660" s="21" t="s">
        <v>133</v>
      </c>
      <c r="C660" s="21"/>
      <c r="D660" s="21" t="s">
        <v>219</v>
      </c>
      <c r="E660" s="21">
        <v>2800.0</v>
      </c>
      <c r="F660" s="21">
        <v>3200.0</v>
      </c>
      <c r="G660" s="30">
        <f t="shared" si="1"/>
        <v>3000</v>
      </c>
      <c r="H660" s="30">
        <f t="shared" si="4"/>
        <v>3100</v>
      </c>
      <c r="I660" s="31">
        <f t="shared" si="3"/>
        <v>0.1333333333</v>
      </c>
    </row>
    <row r="661" ht="22.5" customHeight="1">
      <c r="A661" s="35">
        <v>45968.0</v>
      </c>
      <c r="B661" s="21" t="s">
        <v>133</v>
      </c>
      <c r="C661" s="21"/>
      <c r="D661" s="21" t="s">
        <v>220</v>
      </c>
      <c r="E661" s="21">
        <v>1750.0</v>
      </c>
      <c r="F661" s="21">
        <v>2500.0</v>
      </c>
      <c r="G661" s="30">
        <f t="shared" si="1"/>
        <v>2125</v>
      </c>
      <c r="H661" s="30">
        <f t="shared" si="4"/>
        <v>2312.5</v>
      </c>
      <c r="I661" s="31">
        <f t="shared" si="3"/>
        <v>0.3529411765</v>
      </c>
    </row>
    <row r="662" ht="22.5" customHeight="1">
      <c r="A662" s="35">
        <v>45968.0</v>
      </c>
      <c r="B662" s="21" t="s">
        <v>120</v>
      </c>
      <c r="C662" s="21" t="s">
        <v>221</v>
      </c>
      <c r="D662" s="21" t="s">
        <v>222</v>
      </c>
      <c r="E662" s="21">
        <v>4.5</v>
      </c>
      <c r="F662" s="21">
        <v>6.55</v>
      </c>
      <c r="G662" s="30">
        <f t="shared" si="1"/>
        <v>5.525</v>
      </c>
      <c r="H662" s="30">
        <f t="shared" si="4"/>
        <v>6.0375</v>
      </c>
      <c r="I662" s="31">
        <f t="shared" si="3"/>
        <v>0.371040724</v>
      </c>
    </row>
    <row r="663" ht="22.5" customHeight="1">
      <c r="A663" s="35">
        <v>45968.0</v>
      </c>
      <c r="B663" s="21" t="s">
        <v>120</v>
      </c>
      <c r="C663" s="21" t="s">
        <v>223</v>
      </c>
      <c r="D663" s="21" t="s">
        <v>222</v>
      </c>
      <c r="E663" s="21">
        <v>3.9</v>
      </c>
      <c r="F663" s="21">
        <v>5.3</v>
      </c>
      <c r="G663" s="30">
        <f t="shared" si="1"/>
        <v>4.6</v>
      </c>
      <c r="H663" s="30">
        <f t="shared" si="4"/>
        <v>4.95</v>
      </c>
      <c r="I663" s="31">
        <f t="shared" si="3"/>
        <v>0.3043478261</v>
      </c>
    </row>
    <row r="664" ht="22.5" customHeight="1">
      <c r="A664" s="35">
        <v>45968.0</v>
      </c>
      <c r="B664" s="21" t="s">
        <v>120</v>
      </c>
      <c r="C664" s="21" t="s">
        <v>224</v>
      </c>
      <c r="D664" s="21" t="s">
        <v>222</v>
      </c>
      <c r="E664" s="21">
        <v>3.25</v>
      </c>
      <c r="F664" s="21">
        <v>4.85</v>
      </c>
      <c r="G664" s="30">
        <f t="shared" si="1"/>
        <v>4.05</v>
      </c>
      <c r="H664" s="30">
        <f t="shared" si="4"/>
        <v>4.45</v>
      </c>
      <c r="I664" s="31">
        <f t="shared" si="3"/>
        <v>0.3950617284</v>
      </c>
    </row>
    <row r="665" ht="22.5" customHeight="1">
      <c r="A665" s="35">
        <v>45968.0</v>
      </c>
      <c r="B665" s="21" t="s">
        <v>120</v>
      </c>
      <c r="C665" s="21" t="s">
        <v>225</v>
      </c>
      <c r="D665" s="21" t="s">
        <v>222</v>
      </c>
      <c r="E665" s="21">
        <v>3.0</v>
      </c>
      <c r="F665" s="21">
        <v>4.6</v>
      </c>
      <c r="G665" s="30">
        <f t="shared" si="1"/>
        <v>3.8</v>
      </c>
      <c r="H665" s="30">
        <f t="shared" si="4"/>
        <v>4.2</v>
      </c>
      <c r="I665" s="31">
        <f t="shared" si="3"/>
        <v>0.4210526316</v>
      </c>
    </row>
    <row r="666" ht="22.5" customHeight="1">
      <c r="A666" s="35">
        <v>45968.0</v>
      </c>
      <c r="B666" s="21" t="s">
        <v>120</v>
      </c>
      <c r="C666" s="21" t="s">
        <v>226</v>
      </c>
      <c r="D666" s="21" t="s">
        <v>222</v>
      </c>
      <c r="E666" s="21">
        <v>2.85</v>
      </c>
      <c r="F666" s="21">
        <v>4.12</v>
      </c>
      <c r="G666" s="30">
        <f t="shared" si="1"/>
        <v>3.485</v>
      </c>
      <c r="H666" s="30">
        <f t="shared" si="4"/>
        <v>3.8025</v>
      </c>
      <c r="I666" s="31">
        <f t="shared" si="3"/>
        <v>0.3644189383</v>
      </c>
    </row>
    <row r="667" ht="22.5" customHeight="1">
      <c r="A667" s="35">
        <v>45968.0</v>
      </c>
      <c r="B667" s="21" t="s">
        <v>120</v>
      </c>
      <c r="C667" s="21" t="s">
        <v>227</v>
      </c>
      <c r="D667" s="21" t="s">
        <v>222</v>
      </c>
      <c r="E667" s="21">
        <v>2.55</v>
      </c>
      <c r="F667" s="21">
        <v>3.52</v>
      </c>
      <c r="G667" s="30">
        <f t="shared" si="1"/>
        <v>3.035</v>
      </c>
      <c r="H667" s="30">
        <f t="shared" si="4"/>
        <v>3.2775</v>
      </c>
      <c r="I667" s="31">
        <f t="shared" si="3"/>
        <v>0.3196046129</v>
      </c>
    </row>
    <row r="668" ht="22.5" customHeight="1">
      <c r="A668" s="35">
        <v>45968.0</v>
      </c>
      <c r="B668" s="21" t="s">
        <v>120</v>
      </c>
      <c r="C668" s="21" t="s">
        <v>228</v>
      </c>
      <c r="D668" s="21" t="s">
        <v>222</v>
      </c>
      <c r="E668" s="21">
        <v>2.0</v>
      </c>
      <c r="F668" s="21">
        <v>3.25</v>
      </c>
      <c r="G668" s="30">
        <f t="shared" si="1"/>
        <v>2.625</v>
      </c>
      <c r="H668" s="30">
        <f t="shared" si="4"/>
        <v>2.9375</v>
      </c>
      <c r="I668" s="31">
        <f t="shared" si="3"/>
        <v>0.4761904762</v>
      </c>
    </row>
    <row r="669" ht="22.5" customHeight="1">
      <c r="A669" s="35">
        <v>45968.0</v>
      </c>
      <c r="B669" s="21" t="s">
        <v>120</v>
      </c>
      <c r="C669" s="21" t="s">
        <v>229</v>
      </c>
      <c r="D669" s="21" t="s">
        <v>222</v>
      </c>
      <c r="E669" s="21">
        <v>2.1</v>
      </c>
      <c r="F669" s="21">
        <v>3.14</v>
      </c>
      <c r="G669" s="30">
        <f t="shared" si="1"/>
        <v>2.62</v>
      </c>
      <c r="H669" s="30">
        <f t="shared" si="4"/>
        <v>2.88</v>
      </c>
      <c r="I669" s="31">
        <f t="shared" si="3"/>
        <v>0.3969465649</v>
      </c>
    </row>
    <row r="670" ht="22.5" customHeight="1">
      <c r="A670" s="35">
        <v>45968.0</v>
      </c>
      <c r="B670" s="21" t="s">
        <v>129</v>
      </c>
      <c r="C670" s="21" t="s">
        <v>221</v>
      </c>
      <c r="D670" s="21" t="s">
        <v>222</v>
      </c>
      <c r="E670" s="21">
        <v>3.25</v>
      </c>
      <c r="F670" s="21">
        <v>6.5</v>
      </c>
      <c r="G670" s="30">
        <f t="shared" si="1"/>
        <v>4.875</v>
      </c>
      <c r="H670" s="30">
        <f t="shared" si="4"/>
        <v>5.6875</v>
      </c>
      <c r="I670" s="31">
        <f t="shared" si="3"/>
        <v>0.6666666667</v>
      </c>
    </row>
    <row r="671" ht="22.5" customHeight="1">
      <c r="A671" s="35">
        <v>45968.0</v>
      </c>
      <c r="B671" s="21" t="s">
        <v>129</v>
      </c>
      <c r="C671" s="21" t="s">
        <v>223</v>
      </c>
      <c r="D671" s="21" t="s">
        <v>222</v>
      </c>
      <c r="E671" s="21">
        <v>3.2</v>
      </c>
      <c r="F671" s="21">
        <v>4.4</v>
      </c>
      <c r="G671" s="30">
        <f t="shared" si="1"/>
        <v>3.8</v>
      </c>
      <c r="H671" s="30">
        <f t="shared" si="4"/>
        <v>4.1</v>
      </c>
      <c r="I671" s="31">
        <f t="shared" si="3"/>
        <v>0.3157894737</v>
      </c>
    </row>
    <row r="672" ht="22.5" customHeight="1">
      <c r="A672" s="35">
        <v>45968.0</v>
      </c>
      <c r="B672" s="21" t="s">
        <v>129</v>
      </c>
      <c r="C672" s="21" t="s">
        <v>224</v>
      </c>
      <c r="D672" s="21" t="s">
        <v>222</v>
      </c>
      <c r="E672" s="21">
        <v>3.0</v>
      </c>
      <c r="F672" s="21">
        <v>4.2</v>
      </c>
      <c r="G672" s="30">
        <f t="shared" si="1"/>
        <v>3.6</v>
      </c>
      <c r="H672" s="30">
        <f t="shared" si="4"/>
        <v>3.9</v>
      </c>
      <c r="I672" s="31">
        <f t="shared" si="3"/>
        <v>0.3333333333</v>
      </c>
    </row>
    <row r="673" ht="22.5" customHeight="1">
      <c r="A673" s="35">
        <v>45968.0</v>
      </c>
      <c r="B673" s="21" t="s">
        <v>129</v>
      </c>
      <c r="C673" s="21" t="s">
        <v>225</v>
      </c>
      <c r="D673" s="21" t="s">
        <v>222</v>
      </c>
      <c r="E673" s="21">
        <v>2.9</v>
      </c>
      <c r="F673" s="21">
        <v>4.17</v>
      </c>
      <c r="G673" s="30">
        <f t="shared" si="1"/>
        <v>3.535</v>
      </c>
      <c r="H673" s="30">
        <f t="shared" si="4"/>
        <v>3.8525</v>
      </c>
      <c r="I673" s="31">
        <f t="shared" si="3"/>
        <v>0.3592644979</v>
      </c>
    </row>
    <row r="674" ht="22.5" customHeight="1">
      <c r="A674" s="35">
        <v>45968.0</v>
      </c>
      <c r="B674" s="21" t="s">
        <v>129</v>
      </c>
      <c r="C674" s="21" t="s">
        <v>226</v>
      </c>
      <c r="D674" s="21" t="s">
        <v>222</v>
      </c>
      <c r="E674" s="21">
        <v>2.8</v>
      </c>
      <c r="F674" s="21">
        <v>4.0</v>
      </c>
      <c r="G674" s="30">
        <f t="shared" si="1"/>
        <v>3.4</v>
      </c>
      <c r="H674" s="30">
        <f t="shared" si="4"/>
        <v>3.7</v>
      </c>
      <c r="I674" s="31">
        <f t="shared" si="3"/>
        <v>0.3529411765</v>
      </c>
    </row>
    <row r="675" ht="22.5" customHeight="1">
      <c r="A675" s="35">
        <v>45968.0</v>
      </c>
      <c r="B675" s="21" t="s">
        <v>129</v>
      </c>
      <c r="C675" s="21" t="s">
        <v>227</v>
      </c>
      <c r="D675" s="21" t="s">
        <v>222</v>
      </c>
      <c r="E675" s="21">
        <v>2.0</v>
      </c>
      <c r="F675" s="21">
        <v>3.47</v>
      </c>
      <c r="G675" s="30">
        <f t="shared" si="1"/>
        <v>2.735</v>
      </c>
      <c r="H675" s="30">
        <f t="shared" si="4"/>
        <v>3.1025</v>
      </c>
      <c r="I675" s="31">
        <f t="shared" si="3"/>
        <v>0.5374771481</v>
      </c>
    </row>
    <row r="676" ht="22.5" customHeight="1">
      <c r="A676" s="35">
        <v>45968.0</v>
      </c>
      <c r="B676" s="21" t="s">
        <v>129</v>
      </c>
      <c r="C676" s="21" t="s">
        <v>228</v>
      </c>
      <c r="D676" s="21" t="s">
        <v>222</v>
      </c>
      <c r="E676" s="21">
        <v>2.0</v>
      </c>
      <c r="F676" s="21">
        <v>2.87</v>
      </c>
      <c r="G676" s="30">
        <f t="shared" si="1"/>
        <v>2.435</v>
      </c>
      <c r="H676" s="30">
        <f t="shared" si="4"/>
        <v>2.6525</v>
      </c>
      <c r="I676" s="31">
        <f t="shared" si="3"/>
        <v>0.3572895277</v>
      </c>
    </row>
    <row r="677" ht="22.5" customHeight="1">
      <c r="A677" s="35">
        <v>45968.0</v>
      </c>
      <c r="B677" s="21" t="s">
        <v>129</v>
      </c>
      <c r="C677" s="21" t="s">
        <v>229</v>
      </c>
      <c r="D677" s="21" t="s">
        <v>222</v>
      </c>
      <c r="E677" s="21">
        <v>1.65</v>
      </c>
      <c r="F677" s="21">
        <v>2.5</v>
      </c>
      <c r="G677" s="30">
        <f t="shared" si="1"/>
        <v>2.075</v>
      </c>
      <c r="H677" s="30">
        <f t="shared" si="4"/>
        <v>2.2875</v>
      </c>
      <c r="I677" s="31">
        <f t="shared" si="3"/>
        <v>0.4096385542</v>
      </c>
    </row>
    <row r="678" ht="22.5" customHeight="1">
      <c r="A678" s="35">
        <v>45975.0</v>
      </c>
      <c r="B678" s="21" t="s">
        <v>136</v>
      </c>
      <c r="C678" s="21"/>
      <c r="D678" s="21" t="s">
        <v>210</v>
      </c>
      <c r="E678" s="21">
        <v>0.75</v>
      </c>
      <c r="F678" s="21">
        <v>1.3</v>
      </c>
      <c r="G678" s="30">
        <f t="shared" si="1"/>
        <v>1.025</v>
      </c>
      <c r="H678" s="30">
        <f t="shared" si="4"/>
        <v>1.1625</v>
      </c>
      <c r="I678" s="31">
        <f t="shared" si="3"/>
        <v>0.5365853659</v>
      </c>
    </row>
    <row r="679" ht="22.5" customHeight="1">
      <c r="A679" s="35">
        <v>45975.0</v>
      </c>
      <c r="B679" s="21" t="s">
        <v>136</v>
      </c>
      <c r="C679" s="21"/>
      <c r="D679" s="21" t="s">
        <v>211</v>
      </c>
      <c r="E679" s="21">
        <v>1.3</v>
      </c>
      <c r="F679" s="21">
        <v>1.53</v>
      </c>
      <c r="G679" s="30">
        <f t="shared" si="1"/>
        <v>1.415</v>
      </c>
      <c r="H679" s="30">
        <f t="shared" si="4"/>
        <v>1.4725</v>
      </c>
      <c r="I679" s="31">
        <f t="shared" si="3"/>
        <v>0.1625441696</v>
      </c>
    </row>
    <row r="680" ht="22.5" customHeight="1">
      <c r="A680" s="35">
        <v>45975.0</v>
      </c>
      <c r="B680" s="21" t="s">
        <v>136</v>
      </c>
      <c r="C680" s="21"/>
      <c r="D680" s="21" t="s">
        <v>212</v>
      </c>
      <c r="E680" s="21">
        <v>1.54</v>
      </c>
      <c r="F680" s="21">
        <v>1.82</v>
      </c>
      <c r="G680" s="30">
        <f t="shared" si="1"/>
        <v>1.68</v>
      </c>
      <c r="H680" s="30">
        <f t="shared" si="4"/>
        <v>1.75</v>
      </c>
      <c r="I680" s="31">
        <f t="shared" si="3"/>
        <v>0.1666666667</v>
      </c>
    </row>
    <row r="681" ht="22.5" customHeight="1">
      <c r="A681" s="35">
        <v>45975.0</v>
      </c>
      <c r="B681" s="21" t="s">
        <v>139</v>
      </c>
      <c r="C681" s="21"/>
      <c r="D681" s="21" t="s">
        <v>214</v>
      </c>
      <c r="E681" s="21">
        <v>1.64</v>
      </c>
      <c r="F681" s="21">
        <v>1.76</v>
      </c>
      <c r="G681" s="30">
        <f t="shared" si="1"/>
        <v>1.7</v>
      </c>
      <c r="H681" s="30">
        <f t="shared" si="4"/>
        <v>1.73</v>
      </c>
      <c r="I681" s="31">
        <f t="shared" si="3"/>
        <v>0.07058823529</v>
      </c>
    </row>
    <row r="682" ht="22.5" customHeight="1">
      <c r="A682" s="35">
        <v>45975.0</v>
      </c>
      <c r="B682" s="21" t="s">
        <v>139</v>
      </c>
      <c r="C682" s="21"/>
      <c r="D682" s="21" t="s">
        <v>215</v>
      </c>
      <c r="E682" s="21">
        <v>1.87</v>
      </c>
      <c r="F682" s="21">
        <v>1.87</v>
      </c>
      <c r="G682" s="30">
        <f t="shared" si="1"/>
        <v>1.87</v>
      </c>
      <c r="H682" s="30">
        <f t="shared" si="4"/>
        <v>1.87</v>
      </c>
      <c r="I682" s="31">
        <f t="shared" si="3"/>
        <v>0</v>
      </c>
    </row>
    <row r="683" ht="22.5" customHeight="1">
      <c r="A683" s="35">
        <v>45975.0</v>
      </c>
      <c r="B683" s="21" t="s">
        <v>139</v>
      </c>
      <c r="C683" s="21"/>
      <c r="D683" s="21" t="s">
        <v>216</v>
      </c>
      <c r="E683" s="21">
        <v>1.31</v>
      </c>
      <c r="F683" s="21">
        <v>1.65</v>
      </c>
      <c r="G683" s="30">
        <f t="shared" si="1"/>
        <v>1.48</v>
      </c>
      <c r="H683" s="30">
        <f t="shared" si="4"/>
        <v>1.565</v>
      </c>
      <c r="I683" s="31">
        <f t="shared" si="3"/>
        <v>0.2297297297</v>
      </c>
    </row>
    <row r="684" ht="22.5" customHeight="1">
      <c r="A684" s="35">
        <v>45975.0</v>
      </c>
      <c r="B684" s="21" t="s">
        <v>133</v>
      </c>
      <c r="C684" s="21"/>
      <c r="D684" s="21" t="s">
        <v>217</v>
      </c>
      <c r="E684" s="21">
        <v>3500.0</v>
      </c>
      <c r="F684" s="21">
        <v>4250.0</v>
      </c>
      <c r="G684" s="30">
        <f t="shared" si="1"/>
        <v>3875</v>
      </c>
      <c r="H684" s="30">
        <f t="shared" si="4"/>
        <v>4062.5</v>
      </c>
      <c r="I684" s="31">
        <f t="shared" si="3"/>
        <v>0.1935483871</v>
      </c>
    </row>
    <row r="685" ht="22.5" customHeight="1">
      <c r="A685" s="35">
        <v>45975.0</v>
      </c>
      <c r="B685" s="21" t="s">
        <v>133</v>
      </c>
      <c r="C685" s="21"/>
      <c r="D685" s="21" t="s">
        <v>218</v>
      </c>
      <c r="E685" s="21">
        <v>2500.0</v>
      </c>
      <c r="F685" s="21">
        <v>3200.0</v>
      </c>
      <c r="G685" s="30">
        <f t="shared" si="1"/>
        <v>2850</v>
      </c>
      <c r="H685" s="30">
        <f t="shared" si="4"/>
        <v>3025</v>
      </c>
      <c r="I685" s="31">
        <f t="shared" si="3"/>
        <v>0.2456140351</v>
      </c>
    </row>
    <row r="686" ht="22.5" customHeight="1">
      <c r="A686" s="35">
        <v>45975.0</v>
      </c>
      <c r="B686" s="21" t="s">
        <v>133</v>
      </c>
      <c r="C686" s="21"/>
      <c r="D686" s="21" t="s">
        <v>219</v>
      </c>
      <c r="E686" s="21">
        <v>2800.0</v>
      </c>
      <c r="F686" s="21">
        <v>3200.0</v>
      </c>
      <c r="G686" s="30">
        <f t="shared" si="1"/>
        <v>3000</v>
      </c>
      <c r="H686" s="30">
        <f t="shared" si="4"/>
        <v>3100</v>
      </c>
      <c r="I686" s="31">
        <f t="shared" si="3"/>
        <v>0.1333333333</v>
      </c>
    </row>
    <row r="687" ht="22.5" customHeight="1">
      <c r="A687" s="35">
        <v>45975.0</v>
      </c>
      <c r="B687" s="21" t="s">
        <v>133</v>
      </c>
      <c r="C687" s="21"/>
      <c r="D687" s="21" t="s">
        <v>220</v>
      </c>
      <c r="E687" s="21">
        <v>1750.0</v>
      </c>
      <c r="F687" s="21">
        <v>2500.0</v>
      </c>
      <c r="G687" s="30">
        <f t="shared" si="1"/>
        <v>2125</v>
      </c>
      <c r="H687" s="30">
        <f t="shared" si="4"/>
        <v>2312.5</v>
      </c>
      <c r="I687" s="31">
        <f t="shared" si="3"/>
        <v>0.3529411765</v>
      </c>
    </row>
    <row r="688" ht="22.5" customHeight="1">
      <c r="A688" s="35">
        <v>45975.0</v>
      </c>
      <c r="B688" s="21" t="s">
        <v>120</v>
      </c>
      <c r="C688" s="21" t="s">
        <v>221</v>
      </c>
      <c r="D688" s="21" t="s">
        <v>222</v>
      </c>
      <c r="E688" s="21">
        <v>4.5</v>
      </c>
      <c r="F688" s="21">
        <v>6.2</v>
      </c>
      <c r="G688" s="30">
        <f t="shared" si="1"/>
        <v>5.35</v>
      </c>
      <c r="H688" s="30">
        <f t="shared" si="4"/>
        <v>5.775</v>
      </c>
      <c r="I688" s="31">
        <f t="shared" si="3"/>
        <v>0.3177570093</v>
      </c>
    </row>
    <row r="689" ht="22.5" customHeight="1">
      <c r="A689" s="35">
        <v>45975.0</v>
      </c>
      <c r="B689" s="21" t="s">
        <v>120</v>
      </c>
      <c r="C689" s="21" t="s">
        <v>223</v>
      </c>
      <c r="D689" s="21" t="s">
        <v>222</v>
      </c>
      <c r="E689" s="21">
        <v>3.9</v>
      </c>
      <c r="F689" s="21">
        <v>5.1</v>
      </c>
      <c r="G689" s="30">
        <f t="shared" si="1"/>
        <v>4.5</v>
      </c>
      <c r="H689" s="30">
        <f t="shared" si="4"/>
        <v>4.8</v>
      </c>
      <c r="I689" s="31">
        <f t="shared" si="3"/>
        <v>0.2666666667</v>
      </c>
    </row>
    <row r="690" ht="22.5" customHeight="1">
      <c r="A690" s="35">
        <v>45975.0</v>
      </c>
      <c r="B690" s="21" t="s">
        <v>120</v>
      </c>
      <c r="C690" s="21" t="s">
        <v>224</v>
      </c>
      <c r="D690" s="21" t="s">
        <v>222</v>
      </c>
      <c r="E690" s="21">
        <v>3.25</v>
      </c>
      <c r="F690" s="21">
        <v>5.0</v>
      </c>
      <c r="G690" s="30">
        <f t="shared" si="1"/>
        <v>4.125</v>
      </c>
      <c r="H690" s="30">
        <f t="shared" si="4"/>
        <v>4.5625</v>
      </c>
      <c r="I690" s="31">
        <f t="shared" si="3"/>
        <v>0.4242424242</v>
      </c>
    </row>
    <row r="691" ht="22.5" customHeight="1">
      <c r="A691" s="35">
        <v>45975.0</v>
      </c>
      <c r="B691" s="21" t="s">
        <v>120</v>
      </c>
      <c r="C691" s="21" t="s">
        <v>225</v>
      </c>
      <c r="D691" s="21" t="s">
        <v>222</v>
      </c>
      <c r="E691" s="21">
        <v>3.0</v>
      </c>
      <c r="F691" s="21">
        <v>4.5</v>
      </c>
      <c r="G691" s="30">
        <f t="shared" si="1"/>
        <v>3.75</v>
      </c>
      <c r="H691" s="30">
        <f t="shared" si="4"/>
        <v>4.125</v>
      </c>
      <c r="I691" s="31">
        <f t="shared" si="3"/>
        <v>0.4</v>
      </c>
    </row>
    <row r="692" ht="22.5" customHeight="1">
      <c r="A692" s="35">
        <v>45975.0</v>
      </c>
      <c r="B692" s="21" t="s">
        <v>120</v>
      </c>
      <c r="C692" s="21" t="s">
        <v>226</v>
      </c>
      <c r="D692" s="21" t="s">
        <v>222</v>
      </c>
      <c r="E692" s="21">
        <v>2.85</v>
      </c>
      <c r="F692" s="21">
        <v>3.97</v>
      </c>
      <c r="G692" s="30">
        <f t="shared" si="1"/>
        <v>3.41</v>
      </c>
      <c r="H692" s="30">
        <f t="shared" si="4"/>
        <v>3.69</v>
      </c>
      <c r="I692" s="31">
        <f t="shared" si="3"/>
        <v>0.3284457478</v>
      </c>
    </row>
    <row r="693" ht="22.5" customHeight="1">
      <c r="A693" s="35">
        <v>45975.0</v>
      </c>
      <c r="B693" s="21" t="s">
        <v>120</v>
      </c>
      <c r="C693" s="21" t="s">
        <v>227</v>
      </c>
      <c r="D693" s="21" t="s">
        <v>222</v>
      </c>
      <c r="E693" s="21">
        <v>2.55</v>
      </c>
      <c r="F693" s="21">
        <v>3.64</v>
      </c>
      <c r="G693" s="30">
        <f t="shared" si="1"/>
        <v>3.095</v>
      </c>
      <c r="H693" s="30">
        <f t="shared" si="4"/>
        <v>3.3675</v>
      </c>
      <c r="I693" s="31">
        <f t="shared" si="3"/>
        <v>0.352180937</v>
      </c>
    </row>
    <row r="694" ht="22.5" customHeight="1">
      <c r="A694" s="35">
        <v>45975.0</v>
      </c>
      <c r="B694" s="21" t="s">
        <v>120</v>
      </c>
      <c r="C694" s="21" t="s">
        <v>228</v>
      </c>
      <c r="D694" s="21" t="s">
        <v>222</v>
      </c>
      <c r="E694" s="21">
        <v>2.0</v>
      </c>
      <c r="F694" s="21">
        <v>3.29</v>
      </c>
      <c r="G694" s="30">
        <f t="shared" si="1"/>
        <v>2.645</v>
      </c>
      <c r="H694" s="30">
        <f t="shared" si="4"/>
        <v>2.9675</v>
      </c>
      <c r="I694" s="31">
        <f t="shared" si="3"/>
        <v>0.4877126654</v>
      </c>
    </row>
    <row r="695" ht="22.5" customHeight="1">
      <c r="A695" s="35">
        <v>45975.0</v>
      </c>
      <c r="B695" s="21" t="s">
        <v>120</v>
      </c>
      <c r="C695" s="21" t="s">
        <v>229</v>
      </c>
      <c r="D695" s="21" t="s">
        <v>222</v>
      </c>
      <c r="E695" s="21">
        <v>2.1</v>
      </c>
      <c r="F695" s="21">
        <v>3.05</v>
      </c>
      <c r="G695" s="30">
        <f t="shared" si="1"/>
        <v>2.575</v>
      </c>
      <c r="H695" s="30">
        <f t="shared" si="4"/>
        <v>2.8125</v>
      </c>
      <c r="I695" s="31">
        <f t="shared" si="3"/>
        <v>0.3689320388</v>
      </c>
    </row>
    <row r="696" ht="22.5" customHeight="1">
      <c r="A696" s="35">
        <v>45975.0</v>
      </c>
      <c r="B696" s="21" t="s">
        <v>129</v>
      </c>
      <c r="C696" s="21" t="s">
        <v>221</v>
      </c>
      <c r="D696" s="21" t="s">
        <v>222</v>
      </c>
      <c r="E696" s="21">
        <v>3.25</v>
      </c>
      <c r="F696" s="21">
        <v>6.05</v>
      </c>
      <c r="G696" s="30">
        <f t="shared" si="1"/>
        <v>4.65</v>
      </c>
      <c r="H696" s="30">
        <f t="shared" si="4"/>
        <v>5.35</v>
      </c>
      <c r="I696" s="31">
        <f t="shared" si="3"/>
        <v>0.6021505376</v>
      </c>
    </row>
    <row r="697" ht="22.5" customHeight="1">
      <c r="A697" s="35">
        <v>45975.0</v>
      </c>
      <c r="B697" s="21" t="s">
        <v>129</v>
      </c>
      <c r="C697" s="21" t="s">
        <v>223</v>
      </c>
      <c r="D697" s="21" t="s">
        <v>222</v>
      </c>
      <c r="E697" s="21">
        <v>3.2</v>
      </c>
      <c r="F697" s="21">
        <v>4.4</v>
      </c>
      <c r="G697" s="30">
        <f t="shared" si="1"/>
        <v>3.8</v>
      </c>
      <c r="H697" s="30">
        <f t="shared" si="4"/>
        <v>4.1</v>
      </c>
      <c r="I697" s="31">
        <f t="shared" si="3"/>
        <v>0.3157894737</v>
      </c>
    </row>
    <row r="698" ht="22.5" customHeight="1">
      <c r="A698" s="35">
        <v>45975.0</v>
      </c>
      <c r="B698" s="21" t="s">
        <v>129</v>
      </c>
      <c r="C698" s="21" t="s">
        <v>224</v>
      </c>
      <c r="D698" s="21" t="s">
        <v>222</v>
      </c>
      <c r="E698" s="21">
        <v>3.0</v>
      </c>
      <c r="F698" s="21">
        <v>4.9</v>
      </c>
      <c r="G698" s="30">
        <f t="shared" si="1"/>
        <v>3.95</v>
      </c>
      <c r="H698" s="30">
        <f t="shared" si="4"/>
        <v>4.425</v>
      </c>
      <c r="I698" s="31">
        <f t="shared" si="3"/>
        <v>0.4810126582</v>
      </c>
    </row>
    <row r="699" ht="22.5" customHeight="1">
      <c r="A699" s="35">
        <v>45975.0</v>
      </c>
      <c r="B699" s="21" t="s">
        <v>129</v>
      </c>
      <c r="C699" s="21" t="s">
        <v>225</v>
      </c>
      <c r="D699" s="21" t="s">
        <v>222</v>
      </c>
      <c r="E699" s="21">
        <v>2.9</v>
      </c>
      <c r="F699" s="21">
        <v>4.5</v>
      </c>
      <c r="G699" s="30">
        <f t="shared" si="1"/>
        <v>3.7</v>
      </c>
      <c r="H699" s="30">
        <f t="shared" si="4"/>
        <v>4.1</v>
      </c>
      <c r="I699" s="31">
        <f t="shared" si="3"/>
        <v>0.4324324324</v>
      </c>
    </row>
    <row r="700" ht="22.5" customHeight="1">
      <c r="A700" s="35">
        <v>45975.0</v>
      </c>
      <c r="B700" s="21" t="s">
        <v>129</v>
      </c>
      <c r="C700" s="21" t="s">
        <v>226</v>
      </c>
      <c r="D700" s="21" t="s">
        <v>222</v>
      </c>
      <c r="E700" s="21">
        <v>2.8</v>
      </c>
      <c r="F700" s="21">
        <v>4.35</v>
      </c>
      <c r="G700" s="30">
        <f t="shared" si="1"/>
        <v>3.575</v>
      </c>
      <c r="H700" s="30">
        <f t="shared" si="4"/>
        <v>3.9625</v>
      </c>
      <c r="I700" s="31">
        <f t="shared" si="3"/>
        <v>0.4335664336</v>
      </c>
    </row>
    <row r="701" ht="22.5" customHeight="1">
      <c r="A701" s="35">
        <v>45975.0</v>
      </c>
      <c r="B701" s="21" t="s">
        <v>129</v>
      </c>
      <c r="C701" s="21" t="s">
        <v>227</v>
      </c>
      <c r="D701" s="21" t="s">
        <v>222</v>
      </c>
      <c r="E701" s="21">
        <v>2.0</v>
      </c>
      <c r="F701" s="21">
        <v>4.0</v>
      </c>
      <c r="G701" s="30">
        <f t="shared" si="1"/>
        <v>3</v>
      </c>
      <c r="H701" s="30">
        <f t="shared" si="4"/>
        <v>3.5</v>
      </c>
      <c r="I701" s="31">
        <f t="shared" si="3"/>
        <v>0.6666666667</v>
      </c>
    </row>
    <row r="702" ht="22.5" customHeight="1">
      <c r="A702" s="35">
        <v>45975.0</v>
      </c>
      <c r="B702" s="21" t="s">
        <v>129</v>
      </c>
      <c r="C702" s="21" t="s">
        <v>228</v>
      </c>
      <c r="D702" s="21" t="s">
        <v>222</v>
      </c>
      <c r="E702" s="21">
        <v>2.0</v>
      </c>
      <c r="F702" s="21">
        <v>3.0</v>
      </c>
      <c r="G702" s="30">
        <f t="shared" si="1"/>
        <v>2.5</v>
      </c>
      <c r="H702" s="30">
        <f t="shared" si="4"/>
        <v>2.75</v>
      </c>
      <c r="I702" s="31">
        <f t="shared" si="3"/>
        <v>0.4</v>
      </c>
    </row>
    <row r="703" ht="22.5" customHeight="1">
      <c r="A703" s="35">
        <v>45975.0</v>
      </c>
      <c r="B703" s="21" t="s">
        <v>129</v>
      </c>
      <c r="C703" s="21" t="s">
        <v>229</v>
      </c>
      <c r="D703" s="21" t="s">
        <v>222</v>
      </c>
      <c r="E703" s="21">
        <v>1.65</v>
      </c>
      <c r="F703" s="21">
        <v>2.5</v>
      </c>
      <c r="G703" s="30">
        <f t="shared" si="1"/>
        <v>2.075</v>
      </c>
      <c r="H703" s="30">
        <f t="shared" si="4"/>
        <v>2.2875</v>
      </c>
      <c r="I703" s="31">
        <f t="shared" si="3"/>
        <v>0.4096385542</v>
      </c>
    </row>
    <row r="704" ht="22.5" customHeight="1">
      <c r="A704" s="35">
        <v>45982.0</v>
      </c>
      <c r="B704" s="21" t="s">
        <v>136</v>
      </c>
      <c r="C704" s="21"/>
      <c r="D704" s="21" t="s">
        <v>210</v>
      </c>
      <c r="E704" s="21">
        <v>0.8</v>
      </c>
      <c r="F704" s="21">
        <v>1.39</v>
      </c>
      <c r="G704" s="30">
        <f t="shared" si="1"/>
        <v>1.095</v>
      </c>
      <c r="H704" s="30">
        <f t="shared" si="4"/>
        <v>1.2425</v>
      </c>
      <c r="I704" s="31">
        <f t="shared" si="3"/>
        <v>0.5388127854</v>
      </c>
    </row>
    <row r="705" ht="22.5" customHeight="1">
      <c r="A705" s="35">
        <v>45982.0</v>
      </c>
      <c r="B705" s="21" t="s">
        <v>136</v>
      </c>
      <c r="C705" s="21"/>
      <c r="D705" s="21" t="s">
        <v>211</v>
      </c>
      <c r="E705" s="21">
        <v>1.3</v>
      </c>
      <c r="F705" s="21">
        <v>1.44</v>
      </c>
      <c r="G705" s="30">
        <f t="shared" si="1"/>
        <v>1.37</v>
      </c>
      <c r="H705" s="30">
        <f t="shared" si="4"/>
        <v>1.405</v>
      </c>
      <c r="I705" s="31">
        <f t="shared" si="3"/>
        <v>0.102189781</v>
      </c>
    </row>
    <row r="706" ht="22.5" customHeight="1">
      <c r="A706" s="35">
        <v>45982.0</v>
      </c>
      <c r="B706" s="21" t="s">
        <v>136</v>
      </c>
      <c r="C706" s="21"/>
      <c r="D706" s="21" t="s">
        <v>212</v>
      </c>
      <c r="E706" s="21">
        <v>1.54</v>
      </c>
      <c r="F706" s="21">
        <v>1.77</v>
      </c>
      <c r="G706" s="30">
        <f t="shared" si="1"/>
        <v>1.655</v>
      </c>
      <c r="H706" s="30">
        <f t="shared" si="4"/>
        <v>1.7125</v>
      </c>
      <c r="I706" s="31">
        <f t="shared" si="3"/>
        <v>0.1389728097</v>
      </c>
    </row>
    <row r="707" ht="22.5" customHeight="1">
      <c r="A707" s="35">
        <v>45982.0</v>
      </c>
      <c r="B707" s="21" t="s">
        <v>139</v>
      </c>
      <c r="C707" s="21"/>
      <c r="D707" s="21" t="s">
        <v>214</v>
      </c>
      <c r="E707" s="21">
        <v>1.64</v>
      </c>
      <c r="F707" s="21">
        <v>1.76</v>
      </c>
      <c r="G707" s="30">
        <f t="shared" si="1"/>
        <v>1.7</v>
      </c>
      <c r="H707" s="30">
        <f t="shared" si="4"/>
        <v>1.73</v>
      </c>
      <c r="I707" s="31">
        <f t="shared" si="3"/>
        <v>0.07058823529</v>
      </c>
    </row>
    <row r="708" ht="22.5" customHeight="1">
      <c r="A708" s="35">
        <v>45982.0</v>
      </c>
      <c r="B708" s="21" t="s">
        <v>139</v>
      </c>
      <c r="C708" s="21"/>
      <c r="D708" s="21" t="s">
        <v>215</v>
      </c>
      <c r="E708" s="21">
        <v>1.9</v>
      </c>
      <c r="F708" s="21">
        <v>1.9</v>
      </c>
      <c r="G708" s="30">
        <f t="shared" si="1"/>
        <v>1.9</v>
      </c>
      <c r="H708" s="30">
        <f t="shared" si="4"/>
        <v>1.9</v>
      </c>
      <c r="I708" s="31">
        <f t="shared" si="3"/>
        <v>0</v>
      </c>
    </row>
    <row r="709" ht="22.5" customHeight="1">
      <c r="A709" s="35">
        <v>45982.0</v>
      </c>
      <c r="B709" s="21" t="s">
        <v>139</v>
      </c>
      <c r="C709" s="21"/>
      <c r="D709" s="21" t="s">
        <v>216</v>
      </c>
      <c r="E709" s="21">
        <v>1.31</v>
      </c>
      <c r="F709" s="21">
        <v>1.65</v>
      </c>
      <c r="G709" s="30">
        <f t="shared" si="1"/>
        <v>1.48</v>
      </c>
      <c r="H709" s="30">
        <f t="shared" si="4"/>
        <v>1.565</v>
      </c>
      <c r="I709" s="31">
        <f t="shared" si="3"/>
        <v>0.2297297297</v>
      </c>
    </row>
    <row r="710" ht="22.5" customHeight="1">
      <c r="A710" s="35">
        <v>45982.0</v>
      </c>
      <c r="B710" s="21" t="s">
        <v>133</v>
      </c>
      <c r="C710" s="21"/>
      <c r="D710" s="21" t="s">
        <v>217</v>
      </c>
      <c r="E710" s="21">
        <v>3500.0</v>
      </c>
      <c r="F710" s="21">
        <v>4250.0</v>
      </c>
      <c r="G710" s="30">
        <f t="shared" si="1"/>
        <v>3875</v>
      </c>
      <c r="H710" s="30">
        <f t="shared" si="4"/>
        <v>4062.5</v>
      </c>
      <c r="I710" s="31">
        <f t="shared" si="3"/>
        <v>0.1935483871</v>
      </c>
    </row>
    <row r="711" ht="22.5" customHeight="1">
      <c r="A711" s="35">
        <v>45982.0</v>
      </c>
      <c r="B711" s="21" t="s">
        <v>133</v>
      </c>
      <c r="C711" s="21"/>
      <c r="D711" s="21" t="s">
        <v>218</v>
      </c>
      <c r="E711" s="21">
        <v>2500.0</v>
      </c>
      <c r="F711" s="21">
        <v>3200.0</v>
      </c>
      <c r="G711" s="30">
        <f t="shared" si="1"/>
        <v>2850</v>
      </c>
      <c r="H711" s="30">
        <f t="shared" si="4"/>
        <v>3025</v>
      </c>
      <c r="I711" s="31">
        <f t="shared" si="3"/>
        <v>0.2456140351</v>
      </c>
    </row>
    <row r="712" ht="22.5" customHeight="1">
      <c r="A712" s="35">
        <v>45982.0</v>
      </c>
      <c r="B712" s="21" t="s">
        <v>133</v>
      </c>
      <c r="C712" s="21"/>
      <c r="D712" s="21" t="s">
        <v>219</v>
      </c>
      <c r="E712" s="21">
        <v>2800.0</v>
      </c>
      <c r="F712" s="21">
        <v>3100.0</v>
      </c>
      <c r="G712" s="30">
        <f t="shared" si="1"/>
        <v>2950</v>
      </c>
      <c r="H712" s="30">
        <f t="shared" si="4"/>
        <v>3025</v>
      </c>
      <c r="I712" s="31">
        <f t="shared" si="3"/>
        <v>0.1016949153</v>
      </c>
    </row>
    <row r="713" ht="22.5" customHeight="1">
      <c r="A713" s="35">
        <v>45982.0</v>
      </c>
      <c r="B713" s="21" t="s">
        <v>133</v>
      </c>
      <c r="C713" s="21"/>
      <c r="D713" s="21" t="s">
        <v>220</v>
      </c>
      <c r="E713" s="21">
        <v>1750.0</v>
      </c>
      <c r="F713" s="21">
        <v>2500.0</v>
      </c>
      <c r="G713" s="30">
        <f t="shared" si="1"/>
        <v>2125</v>
      </c>
      <c r="H713" s="30">
        <f t="shared" si="4"/>
        <v>2312.5</v>
      </c>
      <c r="I713" s="31">
        <f t="shared" si="3"/>
        <v>0.3529411765</v>
      </c>
    </row>
    <row r="714" ht="22.5" customHeight="1">
      <c r="A714" s="35">
        <v>45982.0</v>
      </c>
      <c r="B714" s="21" t="s">
        <v>120</v>
      </c>
      <c r="C714" s="21" t="s">
        <v>221</v>
      </c>
      <c r="D714" s="21" t="s">
        <v>222</v>
      </c>
      <c r="E714" s="21">
        <v>4.5</v>
      </c>
      <c r="F714" s="21">
        <v>6.0</v>
      </c>
      <c r="G714" s="30">
        <f t="shared" si="1"/>
        <v>5.25</v>
      </c>
      <c r="H714" s="30">
        <f t="shared" si="4"/>
        <v>5.625</v>
      </c>
      <c r="I714" s="31">
        <f t="shared" si="3"/>
        <v>0.2857142857</v>
      </c>
    </row>
    <row r="715" ht="22.5" customHeight="1">
      <c r="A715" s="35">
        <v>45982.0</v>
      </c>
      <c r="B715" s="21" t="s">
        <v>120</v>
      </c>
      <c r="C715" s="21" t="s">
        <v>223</v>
      </c>
      <c r="D715" s="21" t="s">
        <v>222</v>
      </c>
      <c r="E715" s="21">
        <v>3.9</v>
      </c>
      <c r="F715" s="21">
        <v>5.3</v>
      </c>
      <c r="G715" s="30">
        <f t="shared" si="1"/>
        <v>4.6</v>
      </c>
      <c r="H715" s="30">
        <f t="shared" si="4"/>
        <v>4.95</v>
      </c>
      <c r="I715" s="31">
        <f t="shared" si="3"/>
        <v>0.3043478261</v>
      </c>
    </row>
    <row r="716" ht="22.5" customHeight="1">
      <c r="A716" s="35">
        <v>45982.0</v>
      </c>
      <c r="B716" s="21" t="s">
        <v>120</v>
      </c>
      <c r="C716" s="21" t="s">
        <v>224</v>
      </c>
      <c r="D716" s="21" t="s">
        <v>222</v>
      </c>
      <c r="E716" s="21">
        <v>3.25</v>
      </c>
      <c r="F716" s="21">
        <v>5.15</v>
      </c>
      <c r="G716" s="30">
        <f t="shared" si="1"/>
        <v>4.2</v>
      </c>
      <c r="H716" s="30">
        <f t="shared" si="4"/>
        <v>4.675</v>
      </c>
      <c r="I716" s="31">
        <f t="shared" si="3"/>
        <v>0.4523809524</v>
      </c>
    </row>
    <row r="717" ht="22.5" customHeight="1">
      <c r="A717" s="35">
        <v>45982.0</v>
      </c>
      <c r="B717" s="21" t="s">
        <v>120</v>
      </c>
      <c r="C717" s="21" t="s">
        <v>225</v>
      </c>
      <c r="D717" s="21" t="s">
        <v>222</v>
      </c>
      <c r="E717" s="21">
        <v>3.0</v>
      </c>
      <c r="F717" s="21">
        <v>4.85</v>
      </c>
      <c r="G717" s="30">
        <f t="shared" si="1"/>
        <v>3.925</v>
      </c>
      <c r="H717" s="30">
        <f t="shared" si="4"/>
        <v>4.3875</v>
      </c>
      <c r="I717" s="31">
        <f t="shared" si="3"/>
        <v>0.4713375796</v>
      </c>
    </row>
    <row r="718" ht="22.5" customHeight="1">
      <c r="A718" s="35">
        <v>45982.0</v>
      </c>
      <c r="B718" s="21" t="s">
        <v>120</v>
      </c>
      <c r="C718" s="21" t="s">
        <v>226</v>
      </c>
      <c r="D718" s="21" t="s">
        <v>222</v>
      </c>
      <c r="E718" s="21">
        <v>2.85</v>
      </c>
      <c r="F718" s="21">
        <v>4.17</v>
      </c>
      <c r="G718" s="30">
        <f t="shared" si="1"/>
        <v>3.51</v>
      </c>
      <c r="H718" s="30">
        <f t="shared" si="4"/>
        <v>3.84</v>
      </c>
      <c r="I718" s="31">
        <f t="shared" si="3"/>
        <v>0.3760683761</v>
      </c>
    </row>
    <row r="719" ht="22.5" customHeight="1">
      <c r="A719" s="35">
        <v>45982.0</v>
      </c>
      <c r="B719" s="21" t="s">
        <v>120</v>
      </c>
      <c r="C719" s="21" t="s">
        <v>227</v>
      </c>
      <c r="D719" s="21" t="s">
        <v>222</v>
      </c>
      <c r="E719" s="21">
        <v>2.55</v>
      </c>
      <c r="F719" s="21">
        <v>3.82</v>
      </c>
      <c r="G719" s="30">
        <f t="shared" si="1"/>
        <v>3.185</v>
      </c>
      <c r="H719" s="30">
        <f t="shared" si="4"/>
        <v>3.5025</v>
      </c>
      <c r="I719" s="31">
        <f t="shared" si="3"/>
        <v>0.398744113</v>
      </c>
    </row>
    <row r="720" ht="22.5" customHeight="1">
      <c r="A720" s="35">
        <v>45982.0</v>
      </c>
      <c r="B720" s="21" t="s">
        <v>120</v>
      </c>
      <c r="C720" s="21" t="s">
        <v>228</v>
      </c>
      <c r="D720" s="21" t="s">
        <v>222</v>
      </c>
      <c r="E720" s="21">
        <v>2.0</v>
      </c>
      <c r="F720" s="21">
        <v>3.17</v>
      </c>
      <c r="G720" s="30">
        <f t="shared" si="1"/>
        <v>2.585</v>
      </c>
      <c r="H720" s="30">
        <f t="shared" si="4"/>
        <v>2.8775</v>
      </c>
      <c r="I720" s="31">
        <f t="shared" si="3"/>
        <v>0.4526112186</v>
      </c>
    </row>
    <row r="721" ht="22.5" customHeight="1">
      <c r="A721" s="35">
        <v>45982.0</v>
      </c>
      <c r="B721" s="21" t="s">
        <v>120</v>
      </c>
      <c r="C721" s="21" t="s">
        <v>229</v>
      </c>
      <c r="D721" s="21" t="s">
        <v>222</v>
      </c>
      <c r="E721" s="21">
        <v>2.1</v>
      </c>
      <c r="F721" s="21">
        <v>3.01</v>
      </c>
      <c r="G721" s="30">
        <f t="shared" si="1"/>
        <v>2.555</v>
      </c>
      <c r="H721" s="30">
        <f t="shared" si="4"/>
        <v>2.7825</v>
      </c>
      <c r="I721" s="31">
        <f t="shared" si="3"/>
        <v>0.3561643836</v>
      </c>
    </row>
    <row r="722" ht="22.5" customHeight="1">
      <c r="A722" s="35">
        <v>45982.0</v>
      </c>
      <c r="B722" s="21" t="s">
        <v>129</v>
      </c>
      <c r="C722" s="21" t="s">
        <v>221</v>
      </c>
      <c r="D722" s="21" t="s">
        <v>222</v>
      </c>
      <c r="E722" s="21">
        <v>3.25</v>
      </c>
      <c r="F722" s="21">
        <v>5.95</v>
      </c>
      <c r="G722" s="30">
        <f t="shared" si="1"/>
        <v>4.6</v>
      </c>
      <c r="H722" s="30">
        <f t="shared" si="4"/>
        <v>5.275</v>
      </c>
      <c r="I722" s="31">
        <f t="shared" si="3"/>
        <v>0.5869565217</v>
      </c>
    </row>
    <row r="723" ht="22.5" customHeight="1">
      <c r="A723" s="35">
        <v>45982.0</v>
      </c>
      <c r="B723" s="21" t="s">
        <v>129</v>
      </c>
      <c r="C723" s="21" t="s">
        <v>223</v>
      </c>
      <c r="D723" s="21" t="s">
        <v>222</v>
      </c>
      <c r="E723" s="21">
        <v>3.2</v>
      </c>
      <c r="F723" s="21">
        <v>5.0</v>
      </c>
      <c r="G723" s="30">
        <f t="shared" si="1"/>
        <v>4.1</v>
      </c>
      <c r="H723" s="30">
        <f t="shared" si="4"/>
        <v>4.55</v>
      </c>
      <c r="I723" s="31">
        <f t="shared" si="3"/>
        <v>0.4390243902</v>
      </c>
    </row>
    <row r="724" ht="22.5" customHeight="1">
      <c r="A724" s="35">
        <v>45982.0</v>
      </c>
      <c r="B724" s="21" t="s">
        <v>129</v>
      </c>
      <c r="C724" s="21" t="s">
        <v>224</v>
      </c>
      <c r="D724" s="21" t="s">
        <v>222</v>
      </c>
      <c r="E724" s="21">
        <v>3.0</v>
      </c>
      <c r="F724" s="21">
        <v>4.85</v>
      </c>
      <c r="G724" s="30">
        <f t="shared" si="1"/>
        <v>3.925</v>
      </c>
      <c r="H724" s="30">
        <f t="shared" si="4"/>
        <v>4.3875</v>
      </c>
      <c r="I724" s="31">
        <f t="shared" si="3"/>
        <v>0.4713375796</v>
      </c>
    </row>
    <row r="725" ht="22.5" customHeight="1">
      <c r="A725" s="35">
        <v>45982.0</v>
      </c>
      <c r="B725" s="21" t="s">
        <v>129</v>
      </c>
      <c r="C725" s="21" t="s">
        <v>225</v>
      </c>
      <c r="D725" s="21" t="s">
        <v>222</v>
      </c>
      <c r="E725" s="21">
        <v>2.9</v>
      </c>
      <c r="F725" s="21">
        <v>4.4</v>
      </c>
      <c r="G725" s="30">
        <f t="shared" si="1"/>
        <v>3.65</v>
      </c>
      <c r="H725" s="30">
        <f t="shared" si="4"/>
        <v>4.025</v>
      </c>
      <c r="I725" s="31">
        <f t="shared" si="3"/>
        <v>0.4109589041</v>
      </c>
    </row>
    <row r="726" ht="22.5" customHeight="1">
      <c r="A726" s="35">
        <v>45982.0</v>
      </c>
      <c r="B726" s="21" t="s">
        <v>129</v>
      </c>
      <c r="C726" s="21" t="s">
        <v>226</v>
      </c>
      <c r="D726" s="21" t="s">
        <v>222</v>
      </c>
      <c r="E726" s="21">
        <v>2.8</v>
      </c>
      <c r="F726" s="21">
        <v>4.3</v>
      </c>
      <c r="G726" s="30">
        <f t="shared" si="1"/>
        <v>3.55</v>
      </c>
      <c r="H726" s="30">
        <f t="shared" si="4"/>
        <v>3.925</v>
      </c>
      <c r="I726" s="31">
        <f t="shared" si="3"/>
        <v>0.4225352113</v>
      </c>
    </row>
    <row r="727" ht="22.5" customHeight="1">
      <c r="A727" s="35">
        <v>45982.0</v>
      </c>
      <c r="B727" s="21" t="s">
        <v>129</v>
      </c>
      <c r="C727" s="21" t="s">
        <v>227</v>
      </c>
      <c r="D727" s="21" t="s">
        <v>222</v>
      </c>
      <c r="E727" s="21">
        <v>2.0</v>
      </c>
      <c r="F727" s="21">
        <v>3.9</v>
      </c>
      <c r="G727" s="30">
        <f t="shared" si="1"/>
        <v>2.95</v>
      </c>
      <c r="H727" s="30">
        <f t="shared" si="4"/>
        <v>3.425</v>
      </c>
      <c r="I727" s="31">
        <f t="shared" si="3"/>
        <v>0.6440677966</v>
      </c>
    </row>
    <row r="728" ht="22.5" customHeight="1">
      <c r="A728" s="35">
        <v>45982.0</v>
      </c>
      <c r="B728" s="21" t="s">
        <v>129</v>
      </c>
      <c r="C728" s="21" t="s">
        <v>228</v>
      </c>
      <c r="D728" s="21" t="s">
        <v>222</v>
      </c>
      <c r="E728" s="21">
        <v>2.0</v>
      </c>
      <c r="F728" s="21">
        <v>3.1</v>
      </c>
      <c r="G728" s="30">
        <f t="shared" si="1"/>
        <v>2.55</v>
      </c>
      <c r="H728" s="30">
        <f t="shared" si="4"/>
        <v>2.825</v>
      </c>
      <c r="I728" s="31">
        <f t="shared" si="3"/>
        <v>0.431372549</v>
      </c>
    </row>
    <row r="729" ht="22.5" customHeight="1">
      <c r="A729" s="35">
        <v>45982.0</v>
      </c>
      <c r="B729" s="21" t="s">
        <v>129</v>
      </c>
      <c r="C729" s="21" t="s">
        <v>229</v>
      </c>
      <c r="D729" s="21" t="s">
        <v>222</v>
      </c>
      <c r="E729" s="21">
        <v>1.65</v>
      </c>
      <c r="F729" s="21">
        <v>2.82</v>
      </c>
      <c r="G729" s="30">
        <f t="shared" si="1"/>
        <v>2.235</v>
      </c>
      <c r="H729" s="30">
        <f t="shared" si="4"/>
        <v>2.5275</v>
      </c>
      <c r="I729" s="31">
        <f t="shared" si="3"/>
        <v>0.5234899329</v>
      </c>
    </row>
    <row r="730" ht="22.5" customHeight="1">
      <c r="A730" s="35">
        <v>45996.0</v>
      </c>
      <c r="B730" s="21" t="s">
        <v>136</v>
      </c>
      <c r="C730" s="21"/>
      <c r="D730" s="21" t="s">
        <v>210</v>
      </c>
      <c r="E730" s="21">
        <v>0.8</v>
      </c>
      <c r="F730" s="21">
        <v>1.39</v>
      </c>
      <c r="G730" s="30">
        <f t="shared" si="1"/>
        <v>1.095</v>
      </c>
      <c r="H730" s="30">
        <f t="shared" si="4"/>
        <v>1.2425</v>
      </c>
      <c r="I730" s="31">
        <f t="shared" si="3"/>
        <v>0.5388127854</v>
      </c>
    </row>
    <row r="731" ht="22.5" customHeight="1">
      <c r="A731" s="35">
        <v>45996.0</v>
      </c>
      <c r="B731" s="21" t="s">
        <v>136</v>
      </c>
      <c r="C731" s="21"/>
      <c r="D731" s="21" t="s">
        <v>211</v>
      </c>
      <c r="E731" s="21">
        <v>1.3</v>
      </c>
      <c r="F731" s="21">
        <v>1.44</v>
      </c>
      <c r="G731" s="30">
        <f t="shared" si="1"/>
        <v>1.37</v>
      </c>
      <c r="H731" s="30">
        <f t="shared" si="4"/>
        <v>1.405</v>
      </c>
      <c r="I731" s="31">
        <f t="shared" si="3"/>
        <v>0.102189781</v>
      </c>
    </row>
    <row r="732" ht="22.5" customHeight="1">
      <c r="A732" s="35">
        <v>45996.0</v>
      </c>
      <c r="B732" s="21" t="s">
        <v>136</v>
      </c>
      <c r="C732" s="21"/>
      <c r="D732" s="21" t="s">
        <v>212</v>
      </c>
      <c r="E732" s="21">
        <v>1.54</v>
      </c>
      <c r="F732" s="21">
        <v>1.77</v>
      </c>
      <c r="G732" s="30">
        <f t="shared" si="1"/>
        <v>1.655</v>
      </c>
      <c r="H732" s="30">
        <f t="shared" si="4"/>
        <v>1.7125</v>
      </c>
      <c r="I732" s="31">
        <f t="shared" si="3"/>
        <v>0.1389728097</v>
      </c>
    </row>
    <row r="733" ht="22.5" customHeight="1">
      <c r="A733" s="35">
        <v>45996.0</v>
      </c>
      <c r="B733" s="21" t="s">
        <v>139</v>
      </c>
      <c r="C733" s="21"/>
      <c r="D733" s="21" t="s">
        <v>214</v>
      </c>
      <c r="E733" s="21">
        <v>1.64</v>
      </c>
      <c r="F733" s="21">
        <v>1.76</v>
      </c>
      <c r="G733" s="30">
        <f t="shared" si="1"/>
        <v>1.7</v>
      </c>
      <c r="H733" s="30">
        <f t="shared" si="4"/>
        <v>1.73</v>
      </c>
      <c r="I733" s="31">
        <f t="shared" si="3"/>
        <v>0.07058823529</v>
      </c>
    </row>
    <row r="734" ht="22.5" customHeight="1">
      <c r="A734" s="35">
        <v>45996.0</v>
      </c>
      <c r="B734" s="21" t="s">
        <v>139</v>
      </c>
      <c r="C734" s="21"/>
      <c r="D734" s="21" t="s">
        <v>215</v>
      </c>
      <c r="E734" s="21">
        <v>1.89</v>
      </c>
      <c r="F734" s="21">
        <v>1.89</v>
      </c>
      <c r="G734" s="30">
        <f t="shared" si="1"/>
        <v>1.89</v>
      </c>
      <c r="H734" s="30">
        <f t="shared" si="4"/>
        <v>1.89</v>
      </c>
      <c r="I734" s="31">
        <f t="shared" si="3"/>
        <v>0</v>
      </c>
    </row>
    <row r="735" ht="22.5" customHeight="1">
      <c r="A735" s="35">
        <v>45996.0</v>
      </c>
      <c r="B735" s="21" t="s">
        <v>139</v>
      </c>
      <c r="C735" s="21"/>
      <c r="D735" s="21" t="s">
        <v>216</v>
      </c>
      <c r="E735" s="21">
        <v>1.31</v>
      </c>
      <c r="F735" s="21">
        <v>1.65</v>
      </c>
      <c r="G735" s="30">
        <f t="shared" si="1"/>
        <v>1.48</v>
      </c>
      <c r="H735" s="30">
        <f t="shared" si="4"/>
        <v>1.565</v>
      </c>
      <c r="I735" s="31">
        <f t="shared" si="3"/>
        <v>0.2297297297</v>
      </c>
    </row>
    <row r="736" ht="22.5" customHeight="1">
      <c r="A736" s="35">
        <v>45996.0</v>
      </c>
      <c r="B736" s="21" t="s">
        <v>133</v>
      </c>
      <c r="C736" s="21"/>
      <c r="D736" s="21" t="s">
        <v>217</v>
      </c>
      <c r="E736" s="21">
        <v>3500.0</v>
      </c>
      <c r="F736" s="21">
        <v>4400.0</v>
      </c>
      <c r="G736" s="30">
        <f t="shared" si="1"/>
        <v>3950</v>
      </c>
      <c r="H736" s="30">
        <f t="shared" si="4"/>
        <v>4175</v>
      </c>
      <c r="I736" s="31">
        <f t="shared" si="3"/>
        <v>0.2278481013</v>
      </c>
    </row>
    <row r="737" ht="22.5" customHeight="1">
      <c r="A737" s="35">
        <v>45996.0</v>
      </c>
      <c r="B737" s="21" t="s">
        <v>133</v>
      </c>
      <c r="C737" s="21"/>
      <c r="D737" s="21" t="s">
        <v>218</v>
      </c>
      <c r="E737" s="21">
        <v>2500.0</v>
      </c>
      <c r="F737" s="21">
        <v>3200.0</v>
      </c>
      <c r="G737" s="30">
        <f t="shared" si="1"/>
        <v>2850</v>
      </c>
      <c r="H737" s="30">
        <f t="shared" si="4"/>
        <v>3025</v>
      </c>
      <c r="I737" s="31">
        <f t="shared" si="3"/>
        <v>0.2456140351</v>
      </c>
    </row>
    <row r="738" ht="22.5" customHeight="1">
      <c r="A738" s="35">
        <v>45996.0</v>
      </c>
      <c r="B738" s="21" t="s">
        <v>133</v>
      </c>
      <c r="C738" s="21"/>
      <c r="D738" s="21" t="s">
        <v>219</v>
      </c>
      <c r="E738" s="21">
        <v>2800.0</v>
      </c>
      <c r="F738" s="21">
        <v>3800.0</v>
      </c>
      <c r="G738" s="30">
        <f t="shared" si="1"/>
        <v>3300</v>
      </c>
      <c r="H738" s="30">
        <f t="shared" si="4"/>
        <v>3550</v>
      </c>
      <c r="I738" s="31">
        <f t="shared" si="3"/>
        <v>0.303030303</v>
      </c>
    </row>
    <row r="739" ht="22.5" customHeight="1">
      <c r="A739" s="35">
        <v>45996.0</v>
      </c>
      <c r="B739" s="21" t="s">
        <v>133</v>
      </c>
      <c r="C739" s="21"/>
      <c r="D739" s="21" t="s">
        <v>220</v>
      </c>
      <c r="E739" s="21">
        <v>1750.0</v>
      </c>
      <c r="F739" s="21">
        <v>2500.0</v>
      </c>
      <c r="G739" s="30">
        <f t="shared" si="1"/>
        <v>2125</v>
      </c>
      <c r="H739" s="30">
        <f t="shared" si="4"/>
        <v>2312.5</v>
      </c>
      <c r="I739" s="31">
        <f t="shared" si="3"/>
        <v>0.3529411765</v>
      </c>
    </row>
    <row r="740" ht="22.5" customHeight="1">
      <c r="A740" s="35">
        <v>45996.0</v>
      </c>
      <c r="B740" s="21" t="s">
        <v>120</v>
      </c>
      <c r="C740" s="21" t="s">
        <v>221</v>
      </c>
      <c r="D740" s="21" t="s">
        <v>222</v>
      </c>
      <c r="E740" s="21">
        <v>4.5</v>
      </c>
      <c r="F740" s="21">
        <v>6.3</v>
      </c>
      <c r="G740" s="30">
        <f t="shared" si="1"/>
        <v>5.4</v>
      </c>
      <c r="H740" s="30">
        <f t="shared" si="4"/>
        <v>5.85</v>
      </c>
      <c r="I740" s="31">
        <f t="shared" si="3"/>
        <v>0.3333333333</v>
      </c>
    </row>
    <row r="741" ht="22.5" customHeight="1">
      <c r="A741" s="35">
        <v>45996.0</v>
      </c>
      <c r="B741" s="21" t="s">
        <v>120</v>
      </c>
      <c r="C741" s="21" t="s">
        <v>223</v>
      </c>
      <c r="D741" s="21" t="s">
        <v>222</v>
      </c>
      <c r="E741" s="21">
        <v>3.9</v>
      </c>
      <c r="F741" s="21">
        <v>5.95</v>
      </c>
      <c r="G741" s="30">
        <f t="shared" si="1"/>
        <v>4.925</v>
      </c>
      <c r="H741" s="30">
        <f t="shared" si="4"/>
        <v>5.4375</v>
      </c>
      <c r="I741" s="31">
        <f t="shared" si="3"/>
        <v>0.4162436548</v>
      </c>
    </row>
    <row r="742" ht="22.5" customHeight="1">
      <c r="A742" s="35">
        <v>45996.0</v>
      </c>
      <c r="B742" s="21" t="s">
        <v>120</v>
      </c>
      <c r="C742" s="21" t="s">
        <v>224</v>
      </c>
      <c r="D742" s="21" t="s">
        <v>222</v>
      </c>
      <c r="E742" s="21">
        <v>3.25</v>
      </c>
      <c r="F742" s="21">
        <v>6.0</v>
      </c>
      <c r="G742" s="30">
        <f t="shared" si="1"/>
        <v>4.625</v>
      </c>
      <c r="H742" s="30">
        <f t="shared" si="4"/>
        <v>5.3125</v>
      </c>
      <c r="I742" s="31">
        <f t="shared" si="3"/>
        <v>0.5945945946</v>
      </c>
    </row>
    <row r="743" ht="22.5" customHeight="1">
      <c r="A743" s="35">
        <v>45996.0</v>
      </c>
      <c r="B743" s="21" t="s">
        <v>120</v>
      </c>
      <c r="C743" s="21" t="s">
        <v>225</v>
      </c>
      <c r="D743" s="21" t="s">
        <v>222</v>
      </c>
      <c r="E743" s="21">
        <v>3.0</v>
      </c>
      <c r="F743" s="21">
        <v>5.0</v>
      </c>
      <c r="G743" s="30">
        <f t="shared" si="1"/>
        <v>4</v>
      </c>
      <c r="H743" s="30">
        <f t="shared" si="4"/>
        <v>4.5</v>
      </c>
      <c r="I743" s="31">
        <f t="shared" si="3"/>
        <v>0.5</v>
      </c>
    </row>
    <row r="744" ht="22.5" customHeight="1">
      <c r="A744" s="35">
        <v>45996.0</v>
      </c>
      <c r="B744" s="21" t="s">
        <v>120</v>
      </c>
      <c r="C744" s="21" t="s">
        <v>226</v>
      </c>
      <c r="D744" s="21" t="s">
        <v>222</v>
      </c>
      <c r="E744" s="21">
        <v>2.85</v>
      </c>
      <c r="F744" s="21">
        <v>4.37</v>
      </c>
      <c r="G744" s="30">
        <f t="shared" si="1"/>
        <v>3.61</v>
      </c>
      <c r="H744" s="30">
        <f t="shared" si="4"/>
        <v>3.99</v>
      </c>
      <c r="I744" s="31">
        <f t="shared" si="3"/>
        <v>0.4210526316</v>
      </c>
    </row>
    <row r="745" ht="22.5" customHeight="1">
      <c r="A745" s="35">
        <v>45996.0</v>
      </c>
      <c r="B745" s="21" t="s">
        <v>120</v>
      </c>
      <c r="C745" s="21" t="s">
        <v>227</v>
      </c>
      <c r="D745" s="21" t="s">
        <v>222</v>
      </c>
      <c r="E745" s="21">
        <v>2.55</v>
      </c>
      <c r="F745" s="21">
        <v>3.7</v>
      </c>
      <c r="G745" s="30">
        <f t="shared" si="1"/>
        <v>3.125</v>
      </c>
      <c r="H745" s="30">
        <f t="shared" si="4"/>
        <v>3.4125</v>
      </c>
      <c r="I745" s="31">
        <f t="shared" si="3"/>
        <v>0.368</v>
      </c>
    </row>
    <row r="746" ht="22.5" customHeight="1">
      <c r="A746" s="35">
        <v>45996.0</v>
      </c>
      <c r="B746" s="21" t="s">
        <v>120</v>
      </c>
      <c r="C746" s="21" t="s">
        <v>228</v>
      </c>
      <c r="D746" s="21" t="s">
        <v>222</v>
      </c>
      <c r="E746" s="21">
        <v>2.0</v>
      </c>
      <c r="F746" s="21">
        <v>3.25</v>
      </c>
      <c r="G746" s="30">
        <f t="shared" si="1"/>
        <v>2.625</v>
      </c>
      <c r="H746" s="30">
        <f t="shared" si="4"/>
        <v>2.9375</v>
      </c>
      <c r="I746" s="31">
        <f t="shared" si="3"/>
        <v>0.4761904762</v>
      </c>
    </row>
    <row r="747" ht="22.5" customHeight="1">
      <c r="A747" s="35">
        <v>45996.0</v>
      </c>
      <c r="B747" s="21" t="s">
        <v>120</v>
      </c>
      <c r="C747" s="21" t="s">
        <v>229</v>
      </c>
      <c r="D747" s="21" t="s">
        <v>222</v>
      </c>
      <c r="E747" s="21">
        <v>2.1</v>
      </c>
      <c r="F747" s="21">
        <v>3.14</v>
      </c>
      <c r="G747" s="30">
        <f t="shared" si="1"/>
        <v>2.62</v>
      </c>
      <c r="H747" s="30">
        <f t="shared" si="4"/>
        <v>2.88</v>
      </c>
      <c r="I747" s="31">
        <f t="shared" si="3"/>
        <v>0.3969465649</v>
      </c>
    </row>
    <row r="748" ht="22.5" customHeight="1">
      <c r="A748" s="35">
        <v>45996.0</v>
      </c>
      <c r="B748" s="21" t="s">
        <v>129</v>
      </c>
      <c r="C748" s="21" t="s">
        <v>221</v>
      </c>
      <c r="D748" s="21" t="s">
        <v>222</v>
      </c>
      <c r="E748" s="21">
        <v>3.25</v>
      </c>
      <c r="F748" s="21">
        <v>6.3</v>
      </c>
      <c r="G748" s="30">
        <f t="shared" si="1"/>
        <v>4.775</v>
      </c>
      <c r="H748" s="30">
        <f t="shared" si="4"/>
        <v>5.5375</v>
      </c>
      <c r="I748" s="31">
        <f t="shared" si="3"/>
        <v>0.6387434555</v>
      </c>
    </row>
    <row r="749" ht="22.5" customHeight="1">
      <c r="A749" s="35">
        <v>45996.0</v>
      </c>
      <c r="B749" s="21" t="s">
        <v>129</v>
      </c>
      <c r="C749" s="21" t="s">
        <v>223</v>
      </c>
      <c r="D749" s="21" t="s">
        <v>222</v>
      </c>
      <c r="E749" s="21">
        <v>3.2</v>
      </c>
      <c r="F749" s="21">
        <v>6.4</v>
      </c>
      <c r="G749" s="30">
        <f t="shared" si="1"/>
        <v>4.8</v>
      </c>
      <c r="H749" s="30">
        <f t="shared" si="4"/>
        <v>5.6</v>
      </c>
      <c r="I749" s="31">
        <f t="shared" si="3"/>
        <v>0.6666666667</v>
      </c>
    </row>
    <row r="750" ht="22.5" customHeight="1">
      <c r="A750" s="35">
        <v>45996.0</v>
      </c>
      <c r="B750" s="21" t="s">
        <v>129</v>
      </c>
      <c r="C750" s="21" t="s">
        <v>224</v>
      </c>
      <c r="D750" s="21" t="s">
        <v>222</v>
      </c>
      <c r="E750" s="21">
        <v>3.0</v>
      </c>
      <c r="F750" s="21">
        <v>5.3</v>
      </c>
      <c r="G750" s="30">
        <f t="shared" si="1"/>
        <v>4.15</v>
      </c>
      <c r="H750" s="30">
        <f t="shared" si="4"/>
        <v>4.725</v>
      </c>
      <c r="I750" s="31">
        <f t="shared" si="3"/>
        <v>0.5542168675</v>
      </c>
    </row>
    <row r="751" ht="22.5" customHeight="1">
      <c r="A751" s="35">
        <v>45996.0</v>
      </c>
      <c r="B751" s="21" t="s">
        <v>129</v>
      </c>
      <c r="C751" s="21" t="s">
        <v>225</v>
      </c>
      <c r="D751" s="21" t="s">
        <v>222</v>
      </c>
      <c r="E751" s="21">
        <v>2.9</v>
      </c>
      <c r="F751" s="21">
        <v>4.55</v>
      </c>
      <c r="G751" s="30">
        <f t="shared" si="1"/>
        <v>3.725</v>
      </c>
      <c r="H751" s="30">
        <f t="shared" si="4"/>
        <v>4.1375</v>
      </c>
      <c r="I751" s="31">
        <f t="shared" si="3"/>
        <v>0.4429530201</v>
      </c>
    </row>
    <row r="752" ht="22.5" customHeight="1">
      <c r="A752" s="35">
        <v>45996.0</v>
      </c>
      <c r="B752" s="21" t="s">
        <v>129</v>
      </c>
      <c r="C752" s="21" t="s">
        <v>226</v>
      </c>
      <c r="D752" s="21" t="s">
        <v>222</v>
      </c>
      <c r="E752" s="21">
        <v>2.8</v>
      </c>
      <c r="F752" s="21">
        <v>4.45</v>
      </c>
      <c r="G752" s="30">
        <f t="shared" si="1"/>
        <v>3.625</v>
      </c>
      <c r="H752" s="30">
        <f t="shared" si="4"/>
        <v>4.0375</v>
      </c>
      <c r="I752" s="31">
        <f t="shared" si="3"/>
        <v>0.4551724138</v>
      </c>
    </row>
    <row r="753" ht="22.5" customHeight="1">
      <c r="A753" s="35">
        <v>45996.0</v>
      </c>
      <c r="B753" s="21" t="s">
        <v>129</v>
      </c>
      <c r="C753" s="21" t="s">
        <v>227</v>
      </c>
      <c r="D753" s="21" t="s">
        <v>222</v>
      </c>
      <c r="E753" s="21">
        <v>2.0</v>
      </c>
      <c r="F753" s="21">
        <v>3.7</v>
      </c>
      <c r="G753" s="30">
        <f t="shared" si="1"/>
        <v>2.85</v>
      </c>
      <c r="H753" s="30">
        <f t="shared" si="4"/>
        <v>3.275</v>
      </c>
      <c r="I753" s="31">
        <f t="shared" si="3"/>
        <v>0.5964912281</v>
      </c>
    </row>
    <row r="754" ht="22.5" customHeight="1">
      <c r="A754" s="35">
        <v>45996.0</v>
      </c>
      <c r="B754" s="21" t="s">
        <v>129</v>
      </c>
      <c r="C754" s="21" t="s">
        <v>228</v>
      </c>
      <c r="D754" s="21" t="s">
        <v>222</v>
      </c>
      <c r="E754" s="21">
        <v>2.0</v>
      </c>
      <c r="F754" s="21">
        <v>3.18</v>
      </c>
      <c r="G754" s="30">
        <f t="shared" si="1"/>
        <v>2.59</v>
      </c>
      <c r="H754" s="30">
        <f t="shared" si="4"/>
        <v>2.885</v>
      </c>
      <c r="I754" s="31">
        <f t="shared" si="3"/>
        <v>0.4555984556</v>
      </c>
    </row>
    <row r="755" ht="22.5" customHeight="1">
      <c r="A755" s="35">
        <v>45996.0</v>
      </c>
      <c r="B755" s="21" t="s">
        <v>129</v>
      </c>
      <c r="C755" s="21" t="s">
        <v>229</v>
      </c>
      <c r="D755" s="21" t="s">
        <v>222</v>
      </c>
      <c r="E755" s="21">
        <v>1.65</v>
      </c>
      <c r="F755" s="21">
        <v>2.7</v>
      </c>
      <c r="G755" s="30">
        <f t="shared" si="1"/>
        <v>2.175</v>
      </c>
      <c r="H755" s="30">
        <f t="shared" si="4"/>
        <v>2.4375</v>
      </c>
      <c r="I755" s="31">
        <f t="shared" si="3"/>
        <v>0.4827586207</v>
      </c>
    </row>
    <row r="756" ht="22.5" customHeight="1">
      <c r="A756" s="35">
        <v>46003.0</v>
      </c>
      <c r="B756" s="21" t="s">
        <v>136</v>
      </c>
      <c r="C756" s="21"/>
      <c r="D756" s="21" t="s">
        <v>210</v>
      </c>
      <c r="E756" s="21">
        <v>0.8</v>
      </c>
      <c r="F756" s="21">
        <v>1.39</v>
      </c>
      <c r="G756" s="30">
        <f t="shared" si="1"/>
        <v>1.095</v>
      </c>
      <c r="H756" s="30">
        <f t="shared" si="4"/>
        <v>1.2425</v>
      </c>
      <c r="I756" s="31">
        <f t="shared" si="3"/>
        <v>0.5388127854</v>
      </c>
    </row>
    <row r="757" ht="22.5" customHeight="1">
      <c r="A757" s="35">
        <v>46003.0</v>
      </c>
      <c r="B757" s="21" t="s">
        <v>136</v>
      </c>
      <c r="C757" s="21"/>
      <c r="D757" s="21" t="s">
        <v>211</v>
      </c>
      <c r="E757" s="21">
        <v>1.3</v>
      </c>
      <c r="F757" s="21">
        <v>1.44</v>
      </c>
      <c r="G757" s="30">
        <f t="shared" si="1"/>
        <v>1.37</v>
      </c>
      <c r="H757" s="30">
        <f t="shared" si="4"/>
        <v>1.405</v>
      </c>
      <c r="I757" s="31">
        <f t="shared" si="3"/>
        <v>0.102189781</v>
      </c>
    </row>
    <row r="758" ht="22.5" customHeight="1">
      <c r="A758" s="35">
        <v>46003.0</v>
      </c>
      <c r="B758" s="21" t="s">
        <v>136</v>
      </c>
      <c r="C758" s="21"/>
      <c r="D758" s="21" t="s">
        <v>212</v>
      </c>
      <c r="E758" s="21">
        <v>1.54</v>
      </c>
      <c r="F758" s="21">
        <v>1.77</v>
      </c>
      <c r="G758" s="30">
        <f t="shared" si="1"/>
        <v>1.655</v>
      </c>
      <c r="H758" s="30">
        <f t="shared" si="4"/>
        <v>1.7125</v>
      </c>
      <c r="I758" s="31">
        <f t="shared" si="3"/>
        <v>0.1389728097</v>
      </c>
    </row>
    <row r="759" ht="22.5" customHeight="1">
      <c r="A759" s="35">
        <v>46003.0</v>
      </c>
      <c r="B759" s="21" t="s">
        <v>139</v>
      </c>
      <c r="C759" s="21"/>
      <c r="D759" s="21" t="s">
        <v>214</v>
      </c>
      <c r="E759" s="21">
        <v>1.64</v>
      </c>
      <c r="F759" s="21">
        <v>1.76</v>
      </c>
      <c r="G759" s="30">
        <f t="shared" si="1"/>
        <v>1.7</v>
      </c>
      <c r="H759" s="30">
        <f t="shared" si="4"/>
        <v>1.73</v>
      </c>
      <c r="I759" s="31">
        <f t="shared" si="3"/>
        <v>0.07058823529</v>
      </c>
    </row>
    <row r="760" ht="22.5" customHeight="1">
      <c r="A760" s="35">
        <v>46003.0</v>
      </c>
      <c r="B760" s="21" t="s">
        <v>139</v>
      </c>
      <c r="C760" s="21"/>
      <c r="D760" s="21" t="s">
        <v>215</v>
      </c>
      <c r="E760" s="21">
        <v>1.84</v>
      </c>
      <c r="F760" s="21">
        <v>1.84</v>
      </c>
      <c r="G760" s="30">
        <f t="shared" si="1"/>
        <v>1.84</v>
      </c>
      <c r="H760" s="30">
        <f t="shared" si="4"/>
        <v>1.84</v>
      </c>
      <c r="I760" s="31">
        <f t="shared" si="3"/>
        <v>0</v>
      </c>
    </row>
    <row r="761" ht="22.5" customHeight="1">
      <c r="A761" s="35">
        <v>46003.0</v>
      </c>
      <c r="B761" s="21" t="s">
        <v>139</v>
      </c>
      <c r="C761" s="21"/>
      <c r="D761" s="21" t="s">
        <v>216</v>
      </c>
      <c r="E761" s="21">
        <v>1.31</v>
      </c>
      <c r="F761" s="21">
        <v>1.65</v>
      </c>
      <c r="G761" s="30">
        <f t="shared" si="1"/>
        <v>1.48</v>
      </c>
      <c r="H761" s="30">
        <f t="shared" si="4"/>
        <v>1.565</v>
      </c>
      <c r="I761" s="31">
        <f t="shared" si="3"/>
        <v>0.2297297297</v>
      </c>
    </row>
    <row r="762" ht="22.5" customHeight="1">
      <c r="A762" s="35">
        <v>46003.0</v>
      </c>
      <c r="B762" s="21" t="s">
        <v>133</v>
      </c>
      <c r="C762" s="21"/>
      <c r="D762" s="21" t="s">
        <v>217</v>
      </c>
      <c r="E762" s="21">
        <v>3500.0</v>
      </c>
      <c r="F762" s="21">
        <v>4400.0</v>
      </c>
      <c r="G762" s="30">
        <f t="shared" si="1"/>
        <v>3950</v>
      </c>
      <c r="H762" s="30">
        <f t="shared" si="4"/>
        <v>4175</v>
      </c>
      <c r="I762" s="31">
        <f t="shared" si="3"/>
        <v>0.2278481013</v>
      </c>
    </row>
    <row r="763" ht="22.5" customHeight="1">
      <c r="A763" s="35">
        <v>46003.0</v>
      </c>
      <c r="B763" s="21" t="s">
        <v>133</v>
      </c>
      <c r="C763" s="21"/>
      <c r="D763" s="21" t="s">
        <v>218</v>
      </c>
      <c r="E763" s="21">
        <v>2500.0</v>
      </c>
      <c r="F763" s="21">
        <v>3200.0</v>
      </c>
      <c r="G763" s="30">
        <f t="shared" si="1"/>
        <v>2850</v>
      </c>
      <c r="H763" s="30">
        <f t="shared" si="4"/>
        <v>3025</v>
      </c>
      <c r="I763" s="31">
        <f t="shared" si="3"/>
        <v>0.2456140351</v>
      </c>
    </row>
    <row r="764" ht="22.5" customHeight="1">
      <c r="A764" s="35">
        <v>46003.0</v>
      </c>
      <c r="B764" s="21" t="s">
        <v>133</v>
      </c>
      <c r="C764" s="21"/>
      <c r="D764" s="21" t="s">
        <v>219</v>
      </c>
      <c r="E764" s="21">
        <v>2800.0</v>
      </c>
      <c r="F764" s="21">
        <v>3800.0</v>
      </c>
      <c r="G764" s="30">
        <f t="shared" si="1"/>
        <v>3300</v>
      </c>
      <c r="H764" s="30">
        <f t="shared" si="4"/>
        <v>3550</v>
      </c>
      <c r="I764" s="31">
        <f t="shared" si="3"/>
        <v>0.303030303</v>
      </c>
    </row>
    <row r="765" ht="22.5" customHeight="1">
      <c r="A765" s="35">
        <v>46003.0</v>
      </c>
      <c r="B765" s="21" t="s">
        <v>133</v>
      </c>
      <c r="C765" s="21"/>
      <c r="D765" s="21" t="s">
        <v>220</v>
      </c>
      <c r="E765" s="21">
        <v>1750.0</v>
      </c>
      <c r="F765" s="21">
        <v>2500.0</v>
      </c>
      <c r="G765" s="30">
        <f t="shared" si="1"/>
        <v>2125</v>
      </c>
      <c r="H765" s="30">
        <f t="shared" si="4"/>
        <v>2312.5</v>
      </c>
      <c r="I765" s="31">
        <f t="shared" si="3"/>
        <v>0.3529411765</v>
      </c>
    </row>
    <row r="766" ht="22.5" customHeight="1">
      <c r="A766" s="35">
        <v>46003.0</v>
      </c>
      <c r="B766" s="21" t="s">
        <v>120</v>
      </c>
      <c r="C766" s="21" t="s">
        <v>221</v>
      </c>
      <c r="D766" s="21" t="s">
        <v>222</v>
      </c>
      <c r="E766" s="21">
        <v>4.5</v>
      </c>
      <c r="F766" s="21">
        <v>6.3</v>
      </c>
      <c r="G766" s="30">
        <f t="shared" si="1"/>
        <v>5.4</v>
      </c>
      <c r="H766" s="30">
        <f t="shared" si="4"/>
        <v>5.85</v>
      </c>
      <c r="I766" s="31">
        <f t="shared" si="3"/>
        <v>0.3333333333</v>
      </c>
    </row>
    <row r="767" ht="22.5" customHeight="1">
      <c r="A767" s="35">
        <v>46003.0</v>
      </c>
      <c r="B767" s="21" t="s">
        <v>120</v>
      </c>
      <c r="C767" s="21" t="s">
        <v>223</v>
      </c>
      <c r="D767" s="21" t="s">
        <v>222</v>
      </c>
      <c r="E767" s="21">
        <v>3.9</v>
      </c>
      <c r="F767" s="21">
        <v>5.9</v>
      </c>
      <c r="G767" s="30">
        <f t="shared" si="1"/>
        <v>4.9</v>
      </c>
      <c r="H767" s="30">
        <f t="shared" si="4"/>
        <v>5.4</v>
      </c>
      <c r="I767" s="31">
        <f t="shared" si="3"/>
        <v>0.4081632653</v>
      </c>
    </row>
    <row r="768" ht="22.5" customHeight="1">
      <c r="A768" s="35">
        <v>46003.0</v>
      </c>
      <c r="B768" s="21" t="s">
        <v>120</v>
      </c>
      <c r="C768" s="21" t="s">
        <v>224</v>
      </c>
      <c r="D768" s="21" t="s">
        <v>222</v>
      </c>
      <c r="E768" s="21">
        <v>3.25</v>
      </c>
      <c r="F768" s="21">
        <v>5.8</v>
      </c>
      <c r="G768" s="30">
        <f t="shared" si="1"/>
        <v>4.525</v>
      </c>
      <c r="H768" s="30">
        <f t="shared" si="4"/>
        <v>5.1625</v>
      </c>
      <c r="I768" s="31">
        <f t="shared" si="3"/>
        <v>0.5635359116</v>
      </c>
    </row>
    <row r="769" ht="22.5" customHeight="1">
      <c r="A769" s="35">
        <v>46003.0</v>
      </c>
      <c r="B769" s="21" t="s">
        <v>120</v>
      </c>
      <c r="C769" s="21" t="s">
        <v>225</v>
      </c>
      <c r="D769" s="21" t="s">
        <v>222</v>
      </c>
      <c r="E769" s="21">
        <v>3.0</v>
      </c>
      <c r="F769" s="21">
        <v>5.25</v>
      </c>
      <c r="G769" s="30">
        <f t="shared" si="1"/>
        <v>4.125</v>
      </c>
      <c r="H769" s="30">
        <f t="shared" si="4"/>
        <v>4.6875</v>
      </c>
      <c r="I769" s="31">
        <f t="shared" si="3"/>
        <v>0.5454545455</v>
      </c>
    </row>
    <row r="770" ht="22.5" customHeight="1">
      <c r="A770" s="35">
        <v>46003.0</v>
      </c>
      <c r="B770" s="21" t="s">
        <v>120</v>
      </c>
      <c r="C770" s="21" t="s">
        <v>226</v>
      </c>
      <c r="D770" s="21" t="s">
        <v>222</v>
      </c>
      <c r="E770" s="21">
        <v>2.85</v>
      </c>
      <c r="F770" s="21">
        <v>4.27</v>
      </c>
      <c r="G770" s="30">
        <f t="shared" si="1"/>
        <v>3.56</v>
      </c>
      <c r="H770" s="30">
        <f t="shared" si="4"/>
        <v>3.915</v>
      </c>
      <c r="I770" s="31">
        <f t="shared" si="3"/>
        <v>0.3988764045</v>
      </c>
    </row>
    <row r="771" ht="22.5" customHeight="1">
      <c r="A771" s="35">
        <v>46003.0</v>
      </c>
      <c r="B771" s="21" t="s">
        <v>120</v>
      </c>
      <c r="C771" s="21" t="s">
        <v>227</v>
      </c>
      <c r="D771" s="21" t="s">
        <v>222</v>
      </c>
      <c r="E771" s="21">
        <v>2.55</v>
      </c>
      <c r="F771" s="21">
        <v>3.92</v>
      </c>
      <c r="G771" s="30">
        <f t="shared" si="1"/>
        <v>3.235</v>
      </c>
      <c r="H771" s="30">
        <f t="shared" si="4"/>
        <v>3.5775</v>
      </c>
      <c r="I771" s="31">
        <f t="shared" si="3"/>
        <v>0.4234930448</v>
      </c>
    </row>
    <row r="772" ht="22.5" customHeight="1">
      <c r="A772" s="35">
        <v>46003.0</v>
      </c>
      <c r="B772" s="21" t="s">
        <v>120</v>
      </c>
      <c r="C772" s="21" t="s">
        <v>228</v>
      </c>
      <c r="D772" s="21" t="s">
        <v>222</v>
      </c>
      <c r="E772" s="21">
        <v>2.0</v>
      </c>
      <c r="F772" s="21">
        <v>3.55</v>
      </c>
      <c r="G772" s="30">
        <f t="shared" si="1"/>
        <v>2.775</v>
      </c>
      <c r="H772" s="30">
        <f t="shared" si="4"/>
        <v>3.1625</v>
      </c>
      <c r="I772" s="31">
        <f t="shared" si="3"/>
        <v>0.5585585586</v>
      </c>
    </row>
    <row r="773" ht="22.5" customHeight="1">
      <c r="A773" s="35">
        <v>46003.0</v>
      </c>
      <c r="B773" s="21" t="s">
        <v>120</v>
      </c>
      <c r="C773" s="21" t="s">
        <v>229</v>
      </c>
      <c r="D773" s="21" t="s">
        <v>222</v>
      </c>
      <c r="E773" s="21">
        <v>2.1</v>
      </c>
      <c r="F773" s="21">
        <v>3.2</v>
      </c>
      <c r="G773" s="30">
        <f t="shared" si="1"/>
        <v>2.65</v>
      </c>
      <c r="H773" s="30">
        <f t="shared" si="4"/>
        <v>2.925</v>
      </c>
      <c r="I773" s="31">
        <f t="shared" si="3"/>
        <v>0.4150943396</v>
      </c>
    </row>
    <row r="774" ht="22.5" customHeight="1">
      <c r="A774" s="35">
        <v>46003.0</v>
      </c>
      <c r="B774" s="21" t="s">
        <v>129</v>
      </c>
      <c r="C774" s="21" t="s">
        <v>221</v>
      </c>
      <c r="D774" s="21" t="s">
        <v>222</v>
      </c>
      <c r="E774" s="21">
        <v>3.25</v>
      </c>
      <c r="F774" s="21">
        <v>6.1</v>
      </c>
      <c r="G774" s="30">
        <f t="shared" si="1"/>
        <v>4.675</v>
      </c>
      <c r="H774" s="30">
        <f t="shared" si="4"/>
        <v>5.3875</v>
      </c>
      <c r="I774" s="31">
        <f t="shared" si="3"/>
        <v>0.6096256684</v>
      </c>
    </row>
    <row r="775" ht="22.5" customHeight="1">
      <c r="A775" s="35">
        <v>46003.0</v>
      </c>
      <c r="B775" s="21" t="s">
        <v>129</v>
      </c>
      <c r="C775" s="21" t="s">
        <v>223</v>
      </c>
      <c r="D775" s="21" t="s">
        <v>222</v>
      </c>
      <c r="E775" s="21">
        <v>3.2</v>
      </c>
      <c r="F775" s="21">
        <v>5.6</v>
      </c>
      <c r="G775" s="30">
        <f t="shared" si="1"/>
        <v>4.4</v>
      </c>
      <c r="H775" s="30">
        <f t="shared" si="4"/>
        <v>5</v>
      </c>
      <c r="I775" s="31">
        <f t="shared" si="3"/>
        <v>0.5454545455</v>
      </c>
    </row>
    <row r="776" ht="22.5" customHeight="1">
      <c r="A776" s="35">
        <v>46003.0</v>
      </c>
      <c r="B776" s="21" t="s">
        <v>129</v>
      </c>
      <c r="C776" s="21" t="s">
        <v>224</v>
      </c>
      <c r="D776" s="21" t="s">
        <v>222</v>
      </c>
      <c r="E776" s="21">
        <v>3.0</v>
      </c>
      <c r="F776" s="21">
        <v>5.0</v>
      </c>
      <c r="G776" s="30">
        <f t="shared" si="1"/>
        <v>4</v>
      </c>
      <c r="H776" s="30">
        <f t="shared" si="4"/>
        <v>4.5</v>
      </c>
      <c r="I776" s="31">
        <f t="shared" si="3"/>
        <v>0.5</v>
      </c>
    </row>
    <row r="777" ht="22.5" customHeight="1">
      <c r="A777" s="35">
        <v>46003.0</v>
      </c>
      <c r="B777" s="21" t="s">
        <v>129</v>
      </c>
      <c r="C777" s="21" t="s">
        <v>225</v>
      </c>
      <c r="D777" s="21" t="s">
        <v>222</v>
      </c>
      <c r="E777" s="21">
        <v>2.9</v>
      </c>
      <c r="F777" s="21">
        <v>4.75</v>
      </c>
      <c r="G777" s="30">
        <f t="shared" si="1"/>
        <v>3.825</v>
      </c>
      <c r="H777" s="30">
        <f t="shared" si="4"/>
        <v>4.2875</v>
      </c>
      <c r="I777" s="31">
        <f t="shared" si="3"/>
        <v>0.4836601307</v>
      </c>
    </row>
    <row r="778" ht="22.5" customHeight="1">
      <c r="A778" s="35">
        <v>46003.0</v>
      </c>
      <c r="B778" s="21" t="s">
        <v>129</v>
      </c>
      <c r="C778" s="21" t="s">
        <v>226</v>
      </c>
      <c r="D778" s="21" t="s">
        <v>222</v>
      </c>
      <c r="E778" s="21">
        <v>2.8</v>
      </c>
      <c r="F778" s="21">
        <v>3.9</v>
      </c>
      <c r="G778" s="30">
        <f t="shared" si="1"/>
        <v>3.35</v>
      </c>
      <c r="H778" s="30">
        <f t="shared" si="4"/>
        <v>3.625</v>
      </c>
      <c r="I778" s="31">
        <f t="shared" si="3"/>
        <v>0.328358209</v>
      </c>
    </row>
    <row r="779" ht="22.5" customHeight="1">
      <c r="A779" s="35">
        <v>46003.0</v>
      </c>
      <c r="B779" s="21" t="s">
        <v>129</v>
      </c>
      <c r="C779" s="21" t="s">
        <v>227</v>
      </c>
      <c r="D779" s="21" t="s">
        <v>222</v>
      </c>
      <c r="E779" s="21">
        <v>2.0</v>
      </c>
      <c r="F779" s="21">
        <v>3.47</v>
      </c>
      <c r="G779" s="30">
        <f t="shared" si="1"/>
        <v>2.735</v>
      </c>
      <c r="H779" s="30">
        <f t="shared" si="4"/>
        <v>3.1025</v>
      </c>
      <c r="I779" s="31">
        <f t="shared" si="3"/>
        <v>0.5374771481</v>
      </c>
    </row>
    <row r="780" ht="22.5" customHeight="1">
      <c r="A780" s="35">
        <v>46003.0</v>
      </c>
      <c r="B780" s="21" t="s">
        <v>129</v>
      </c>
      <c r="C780" s="21" t="s">
        <v>228</v>
      </c>
      <c r="D780" s="21" t="s">
        <v>222</v>
      </c>
      <c r="E780" s="21">
        <v>2.0</v>
      </c>
      <c r="F780" s="21">
        <v>3.24</v>
      </c>
      <c r="G780" s="30">
        <f t="shared" si="1"/>
        <v>2.62</v>
      </c>
      <c r="H780" s="30">
        <f t="shared" si="4"/>
        <v>2.93</v>
      </c>
      <c r="I780" s="31">
        <f t="shared" si="3"/>
        <v>0.4732824427</v>
      </c>
    </row>
    <row r="781" ht="22.5" customHeight="1">
      <c r="A781" s="35">
        <v>46003.0</v>
      </c>
      <c r="B781" s="21" t="s">
        <v>129</v>
      </c>
      <c r="C781" s="21" t="s">
        <v>229</v>
      </c>
      <c r="D781" s="21" t="s">
        <v>222</v>
      </c>
      <c r="E781" s="21">
        <v>1.65</v>
      </c>
      <c r="F781" s="21">
        <v>2.84</v>
      </c>
      <c r="G781" s="30">
        <f t="shared" si="1"/>
        <v>2.245</v>
      </c>
      <c r="H781" s="30">
        <f t="shared" si="4"/>
        <v>2.5425</v>
      </c>
      <c r="I781" s="31">
        <f t="shared" si="3"/>
        <v>0.5300668151</v>
      </c>
    </row>
  </sheetData>
  <dataValidations>
    <dataValidation type="custom" allowBlank="1" showDropDown="1" sqref="A2:A781">
      <formula1>OR(NOT(ISERROR(DATEVALUE(A2))), AND(ISNUMBER(A2), LEFT(CELL("format", A2))="D"))</formula1>
    </dataValidation>
    <dataValidation type="custom" allowBlank="1" showDropDown="1" sqref="G2:I781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5"/>
    <col customWidth="1" min="4" max="4" width="14.0"/>
  </cols>
  <sheetData>
    <row r="1" ht="22.5" customHeight="1">
      <c r="A1" s="11" t="s">
        <v>112</v>
      </c>
      <c r="B1" s="11" t="s">
        <v>113</v>
      </c>
      <c r="C1" s="11" t="s">
        <v>180</v>
      </c>
      <c r="D1" s="11" t="s">
        <v>181</v>
      </c>
      <c r="E1" s="11" t="s">
        <v>172</v>
      </c>
    </row>
    <row r="2" ht="22.5" customHeight="1">
      <c r="A2" s="20" t="s">
        <v>230</v>
      </c>
      <c r="B2" s="34">
        <v>46031.0</v>
      </c>
      <c r="C2" s="2">
        <v>1759.0</v>
      </c>
    </row>
    <row r="3" ht="22.5" customHeight="1">
      <c r="A3" s="20" t="s">
        <v>230</v>
      </c>
      <c r="B3" s="34">
        <v>46038.0</v>
      </c>
      <c r="C3" s="2">
        <v>2066.0</v>
      </c>
    </row>
    <row r="4" ht="22.5" customHeight="1">
      <c r="A4" s="20" t="s">
        <v>230</v>
      </c>
      <c r="B4" s="34">
        <v>46052.0</v>
      </c>
      <c r="C4" s="2">
        <v>1403.0</v>
      </c>
    </row>
    <row r="5" ht="22.5" customHeight="1">
      <c r="A5" s="20" t="s">
        <v>230</v>
      </c>
      <c r="B5" s="34">
        <v>46059.0</v>
      </c>
      <c r="C5" s="2">
        <v>1558.0</v>
      </c>
    </row>
    <row r="6" ht="22.5" customHeight="1">
      <c r="A6" s="20" t="s">
        <v>230</v>
      </c>
      <c r="B6" s="34">
        <v>46066.0</v>
      </c>
      <c r="C6" s="2">
        <v>1634.0</v>
      </c>
    </row>
    <row r="7" ht="22.5" customHeight="1">
      <c r="A7" s="20" t="s">
        <v>230</v>
      </c>
      <c r="B7" s="35">
        <v>46073.0</v>
      </c>
      <c r="C7" s="21">
        <v>1371.0</v>
      </c>
      <c r="D7" s="18"/>
      <c r="E7" s="18"/>
    </row>
  </sheetData>
  <dataValidations>
    <dataValidation type="custom" allowBlank="1" showDropDown="1" sqref="B2:B7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8.5"/>
    <col customWidth="1" min="3" max="3" width="15.5"/>
    <col customWidth="1" min="5" max="5" width="16.0"/>
    <col customWidth="1" min="6" max="6" width="16.38"/>
  </cols>
  <sheetData>
    <row r="1" ht="22.5" customHeight="1">
      <c r="A1" s="11" t="s">
        <v>113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  <c r="G1" s="13" t="s">
        <v>188</v>
      </c>
      <c r="H1" s="13" t="s">
        <v>189</v>
      </c>
      <c r="I1" s="13" t="s">
        <v>190</v>
      </c>
    </row>
    <row r="2" ht="22.5" customHeight="1">
      <c r="A2" s="34">
        <v>46031.0</v>
      </c>
      <c r="B2" s="27" t="s">
        <v>159</v>
      </c>
      <c r="C2" s="2" t="s">
        <v>231</v>
      </c>
      <c r="E2" s="29">
        <v>184.0</v>
      </c>
      <c r="F2" s="29">
        <v>197.0</v>
      </c>
      <c r="G2" s="30">
        <f t="shared" ref="G2:G153" si="1">(E2+F2)/2</f>
        <v>190.5</v>
      </c>
      <c r="H2" s="30">
        <f t="shared" ref="H2:H153" si="2">F2-E2</f>
        <v>13</v>
      </c>
      <c r="I2" s="31">
        <f t="shared" ref="I2:I153" si="3">(F2-E2)/G2</f>
        <v>0.06824146982</v>
      </c>
    </row>
    <row r="3" ht="22.5" customHeight="1">
      <c r="A3" s="34">
        <v>46031.0</v>
      </c>
      <c r="B3" s="27" t="s">
        <v>159</v>
      </c>
      <c r="C3" s="2" t="s">
        <v>216</v>
      </c>
      <c r="E3" s="29">
        <v>138.0</v>
      </c>
      <c r="F3" s="29">
        <v>172.0</v>
      </c>
      <c r="G3" s="30">
        <f t="shared" si="1"/>
        <v>155</v>
      </c>
      <c r="H3" s="30">
        <f t="shared" si="2"/>
        <v>34</v>
      </c>
      <c r="I3" s="31">
        <f t="shared" si="3"/>
        <v>0.2193548387</v>
      </c>
    </row>
    <row r="4" ht="22.5" customHeight="1">
      <c r="A4" s="34">
        <v>46031.0</v>
      </c>
      <c r="B4" s="27" t="s">
        <v>162</v>
      </c>
      <c r="C4" s="2" t="s">
        <v>198</v>
      </c>
      <c r="E4" s="29">
        <v>147.0</v>
      </c>
      <c r="F4" s="29">
        <v>166.0</v>
      </c>
      <c r="G4" s="30">
        <f t="shared" si="1"/>
        <v>156.5</v>
      </c>
      <c r="H4" s="30">
        <f t="shared" si="2"/>
        <v>19</v>
      </c>
      <c r="I4" s="31">
        <f t="shared" si="3"/>
        <v>0.1214057508</v>
      </c>
    </row>
    <row r="5" ht="22.5" customHeight="1">
      <c r="A5" s="34">
        <v>46031.0</v>
      </c>
      <c r="B5" s="27" t="s">
        <v>162</v>
      </c>
      <c r="C5" s="2" t="s">
        <v>199</v>
      </c>
      <c r="E5" s="29">
        <v>139.0</v>
      </c>
      <c r="F5" s="29">
        <v>145.0</v>
      </c>
      <c r="G5" s="30">
        <f t="shared" si="1"/>
        <v>142</v>
      </c>
      <c r="H5" s="30">
        <f t="shared" si="2"/>
        <v>6</v>
      </c>
      <c r="I5" s="31">
        <f t="shared" si="3"/>
        <v>0.04225352113</v>
      </c>
    </row>
    <row r="6" ht="22.5" customHeight="1">
      <c r="A6" s="34">
        <v>46031.0</v>
      </c>
      <c r="B6" s="27" t="s">
        <v>162</v>
      </c>
      <c r="C6" s="2" t="s">
        <v>232</v>
      </c>
      <c r="E6" s="29">
        <v>60.0</v>
      </c>
      <c r="F6" s="29">
        <v>127.0</v>
      </c>
      <c r="G6" s="30">
        <f t="shared" si="1"/>
        <v>93.5</v>
      </c>
      <c r="H6" s="30">
        <f t="shared" si="2"/>
        <v>67</v>
      </c>
      <c r="I6" s="31">
        <f t="shared" si="3"/>
        <v>0.7165775401</v>
      </c>
    </row>
    <row r="7" ht="22.5" customHeight="1">
      <c r="A7" s="34">
        <v>46031.0</v>
      </c>
      <c r="B7" s="27" t="s">
        <v>233</v>
      </c>
      <c r="C7" s="2" t="s">
        <v>234</v>
      </c>
      <c r="D7" s="2" t="s">
        <v>235</v>
      </c>
      <c r="E7" s="29">
        <v>593.0</v>
      </c>
      <c r="F7" s="29">
        <v>700.0</v>
      </c>
      <c r="G7" s="30">
        <f t="shared" si="1"/>
        <v>646.5</v>
      </c>
      <c r="H7" s="30">
        <f t="shared" si="2"/>
        <v>107</v>
      </c>
      <c r="I7" s="31">
        <f t="shared" si="3"/>
        <v>0.1655065739</v>
      </c>
    </row>
    <row r="8" ht="22.5" customHeight="1">
      <c r="A8" s="34">
        <v>46031.0</v>
      </c>
      <c r="B8" s="27" t="s">
        <v>233</v>
      </c>
      <c r="C8" s="2" t="s">
        <v>236</v>
      </c>
      <c r="D8" s="2" t="s">
        <v>235</v>
      </c>
      <c r="E8" s="29">
        <v>614.0</v>
      </c>
      <c r="F8" s="29">
        <v>700.0</v>
      </c>
      <c r="G8" s="30">
        <f t="shared" si="1"/>
        <v>657</v>
      </c>
      <c r="H8" s="30">
        <f t="shared" si="2"/>
        <v>86</v>
      </c>
      <c r="I8" s="31">
        <f t="shared" si="3"/>
        <v>0.1308980213</v>
      </c>
    </row>
    <row r="9" ht="22.5" customHeight="1">
      <c r="A9" s="34">
        <v>46031.0</v>
      </c>
      <c r="B9" s="27" t="s">
        <v>233</v>
      </c>
      <c r="C9" s="2" t="s">
        <v>237</v>
      </c>
      <c r="D9" s="2" t="s">
        <v>235</v>
      </c>
      <c r="E9" s="29">
        <v>535.0</v>
      </c>
      <c r="F9" s="29">
        <v>665.0</v>
      </c>
      <c r="G9" s="30">
        <f t="shared" si="1"/>
        <v>600</v>
      </c>
      <c r="H9" s="30">
        <f t="shared" si="2"/>
        <v>130</v>
      </c>
      <c r="I9" s="31">
        <f t="shared" si="3"/>
        <v>0.2166666667</v>
      </c>
    </row>
    <row r="10" ht="22.5" customHeight="1">
      <c r="A10" s="34">
        <v>46031.0</v>
      </c>
      <c r="B10" s="27" t="s">
        <v>233</v>
      </c>
      <c r="C10" s="2" t="s">
        <v>238</v>
      </c>
      <c r="D10" s="2" t="s">
        <v>235</v>
      </c>
      <c r="E10" s="29">
        <v>504.0</v>
      </c>
      <c r="F10" s="29">
        <v>615.0</v>
      </c>
      <c r="G10" s="30">
        <f t="shared" si="1"/>
        <v>559.5</v>
      </c>
      <c r="H10" s="30">
        <f t="shared" si="2"/>
        <v>111</v>
      </c>
      <c r="I10" s="31">
        <f t="shared" si="3"/>
        <v>0.1983914209</v>
      </c>
    </row>
    <row r="11" ht="22.5" customHeight="1">
      <c r="A11" s="34">
        <v>46031.0</v>
      </c>
      <c r="B11" s="27" t="s">
        <v>233</v>
      </c>
      <c r="C11" s="2" t="s">
        <v>239</v>
      </c>
      <c r="D11" s="2" t="s">
        <v>235</v>
      </c>
      <c r="E11" s="29">
        <v>477.0</v>
      </c>
      <c r="F11" s="29">
        <v>585.0</v>
      </c>
      <c r="G11" s="30">
        <f t="shared" si="1"/>
        <v>531</v>
      </c>
      <c r="H11" s="30">
        <f t="shared" si="2"/>
        <v>108</v>
      </c>
      <c r="I11" s="31">
        <f t="shared" si="3"/>
        <v>0.2033898305</v>
      </c>
    </row>
    <row r="12" ht="22.5" customHeight="1">
      <c r="A12" s="34">
        <v>46031.0</v>
      </c>
      <c r="B12" s="27" t="s">
        <v>233</v>
      </c>
      <c r="C12" s="2" t="s">
        <v>240</v>
      </c>
      <c r="D12" s="2" t="s">
        <v>235</v>
      </c>
      <c r="E12" s="29">
        <v>445.0</v>
      </c>
      <c r="F12" s="29">
        <v>530.0</v>
      </c>
      <c r="G12" s="30">
        <f t="shared" si="1"/>
        <v>487.5</v>
      </c>
      <c r="H12" s="30">
        <f t="shared" si="2"/>
        <v>85</v>
      </c>
      <c r="I12" s="31">
        <f t="shared" si="3"/>
        <v>0.1743589744</v>
      </c>
    </row>
    <row r="13" ht="22.5" customHeight="1">
      <c r="A13" s="34">
        <v>46031.0</v>
      </c>
      <c r="B13" s="27" t="s">
        <v>233</v>
      </c>
      <c r="C13" s="2" t="s">
        <v>241</v>
      </c>
      <c r="D13" s="2" t="s">
        <v>235</v>
      </c>
      <c r="E13" s="29">
        <v>413.0</v>
      </c>
      <c r="F13" s="29">
        <v>495.0</v>
      </c>
      <c r="G13" s="30">
        <f t="shared" si="1"/>
        <v>454</v>
      </c>
      <c r="H13" s="30">
        <f t="shared" si="2"/>
        <v>82</v>
      </c>
      <c r="I13" s="31">
        <f t="shared" si="3"/>
        <v>0.1806167401</v>
      </c>
    </row>
    <row r="14" ht="22.5" customHeight="1">
      <c r="A14" s="34">
        <v>46031.0</v>
      </c>
      <c r="B14" s="27" t="s">
        <v>233</v>
      </c>
      <c r="C14" s="2" t="s">
        <v>242</v>
      </c>
      <c r="D14" s="2" t="s">
        <v>235</v>
      </c>
      <c r="E14" s="29">
        <v>398.0</v>
      </c>
      <c r="F14" s="29">
        <v>440.0</v>
      </c>
      <c r="G14" s="30">
        <f t="shared" si="1"/>
        <v>419</v>
      </c>
      <c r="H14" s="30">
        <f t="shared" si="2"/>
        <v>42</v>
      </c>
      <c r="I14" s="31">
        <f t="shared" si="3"/>
        <v>0.1002386635</v>
      </c>
    </row>
    <row r="15" ht="22.5" customHeight="1">
      <c r="A15" s="34">
        <v>46031.0</v>
      </c>
      <c r="B15" s="27" t="s">
        <v>233</v>
      </c>
      <c r="C15" s="2" t="s">
        <v>207</v>
      </c>
      <c r="D15" s="2" t="s">
        <v>235</v>
      </c>
      <c r="E15" s="29">
        <v>366.0</v>
      </c>
      <c r="F15" s="29">
        <v>432.0</v>
      </c>
      <c r="G15" s="30">
        <f t="shared" si="1"/>
        <v>399</v>
      </c>
      <c r="H15" s="30">
        <f t="shared" si="2"/>
        <v>66</v>
      </c>
      <c r="I15" s="31">
        <f t="shared" si="3"/>
        <v>0.1654135338</v>
      </c>
    </row>
    <row r="16" ht="22.5" customHeight="1">
      <c r="A16" s="34">
        <v>46031.0</v>
      </c>
      <c r="B16" s="27" t="s">
        <v>233</v>
      </c>
      <c r="C16" s="2" t="s">
        <v>208</v>
      </c>
      <c r="D16" s="2" t="s">
        <v>235</v>
      </c>
      <c r="E16" s="29">
        <v>330.0</v>
      </c>
      <c r="F16" s="29">
        <v>352.0</v>
      </c>
      <c r="G16" s="30">
        <f t="shared" si="1"/>
        <v>341</v>
      </c>
      <c r="H16" s="30">
        <f t="shared" si="2"/>
        <v>22</v>
      </c>
      <c r="I16" s="31">
        <f t="shared" si="3"/>
        <v>0.06451612903</v>
      </c>
    </row>
    <row r="17" ht="22.5" customHeight="1">
      <c r="A17" s="34">
        <v>46031.0</v>
      </c>
      <c r="B17" s="27" t="s">
        <v>243</v>
      </c>
      <c r="C17" s="2" t="s">
        <v>234</v>
      </c>
      <c r="D17" s="2" t="s">
        <v>235</v>
      </c>
      <c r="E17" s="29">
        <v>488.0</v>
      </c>
      <c r="F17" s="29">
        <v>620.0</v>
      </c>
      <c r="G17" s="30">
        <f t="shared" si="1"/>
        <v>554</v>
      </c>
      <c r="H17" s="30">
        <f t="shared" si="2"/>
        <v>132</v>
      </c>
      <c r="I17" s="31">
        <f t="shared" si="3"/>
        <v>0.238267148</v>
      </c>
    </row>
    <row r="18" ht="22.5" customHeight="1">
      <c r="A18" s="34">
        <v>46031.0</v>
      </c>
      <c r="B18" s="27" t="s">
        <v>243</v>
      </c>
      <c r="C18" s="2" t="s">
        <v>244</v>
      </c>
      <c r="D18" s="2" t="s">
        <v>235</v>
      </c>
      <c r="E18" s="29">
        <v>453.0</v>
      </c>
      <c r="F18" s="29">
        <v>670.0</v>
      </c>
      <c r="G18" s="30">
        <f t="shared" si="1"/>
        <v>561.5</v>
      </c>
      <c r="H18" s="30">
        <f t="shared" si="2"/>
        <v>217</v>
      </c>
      <c r="I18" s="31">
        <f t="shared" si="3"/>
        <v>0.3864648264</v>
      </c>
    </row>
    <row r="19" ht="22.5" customHeight="1">
      <c r="A19" s="34">
        <v>46031.0</v>
      </c>
      <c r="B19" s="27" t="s">
        <v>243</v>
      </c>
      <c r="C19" s="2" t="s">
        <v>237</v>
      </c>
      <c r="D19" s="2" t="s">
        <v>235</v>
      </c>
      <c r="E19" s="29">
        <v>449.0</v>
      </c>
      <c r="F19" s="29">
        <v>615.0</v>
      </c>
      <c r="G19" s="30">
        <f t="shared" si="1"/>
        <v>532</v>
      </c>
      <c r="H19" s="30">
        <f t="shared" si="2"/>
        <v>166</v>
      </c>
      <c r="I19" s="31">
        <f t="shared" si="3"/>
        <v>0.3120300752</v>
      </c>
    </row>
    <row r="20" ht="22.5" customHeight="1">
      <c r="A20" s="34">
        <v>46031.0</v>
      </c>
      <c r="B20" s="27" t="s">
        <v>243</v>
      </c>
      <c r="C20" s="2" t="s">
        <v>238</v>
      </c>
      <c r="D20" s="2" t="s">
        <v>235</v>
      </c>
      <c r="E20" s="29">
        <v>458.0</v>
      </c>
      <c r="F20" s="29">
        <v>645.0</v>
      </c>
      <c r="G20" s="30">
        <f t="shared" si="1"/>
        <v>551.5</v>
      </c>
      <c r="H20" s="30">
        <f t="shared" si="2"/>
        <v>187</v>
      </c>
      <c r="I20" s="31">
        <f t="shared" si="3"/>
        <v>0.3390752493</v>
      </c>
    </row>
    <row r="21" ht="22.5" customHeight="1">
      <c r="A21" s="34">
        <v>46031.0</v>
      </c>
      <c r="B21" s="27" t="s">
        <v>243</v>
      </c>
      <c r="C21" s="2" t="s">
        <v>239</v>
      </c>
      <c r="D21" s="2" t="s">
        <v>235</v>
      </c>
      <c r="E21" s="29">
        <v>443.0</v>
      </c>
      <c r="F21" s="29">
        <v>537.5</v>
      </c>
      <c r="G21" s="30">
        <f t="shared" si="1"/>
        <v>490.25</v>
      </c>
      <c r="H21" s="30">
        <f t="shared" si="2"/>
        <v>94.5</v>
      </c>
      <c r="I21" s="31">
        <f t="shared" si="3"/>
        <v>0.1927587965</v>
      </c>
    </row>
    <row r="22" ht="22.5" customHeight="1">
      <c r="A22" s="34">
        <v>46031.0</v>
      </c>
      <c r="B22" s="27" t="s">
        <v>243</v>
      </c>
      <c r="C22" s="2" t="s">
        <v>240</v>
      </c>
      <c r="D22" s="2" t="s">
        <v>235</v>
      </c>
      <c r="E22" s="29">
        <v>408.0</v>
      </c>
      <c r="F22" s="29">
        <v>495.0</v>
      </c>
      <c r="G22" s="30">
        <f t="shared" si="1"/>
        <v>451.5</v>
      </c>
      <c r="H22" s="30">
        <f t="shared" si="2"/>
        <v>87</v>
      </c>
      <c r="I22" s="31">
        <f t="shared" si="3"/>
        <v>0.1926910299</v>
      </c>
    </row>
    <row r="23" ht="22.5" customHeight="1">
      <c r="A23" s="34">
        <v>46031.0</v>
      </c>
      <c r="B23" s="27" t="s">
        <v>243</v>
      </c>
      <c r="C23" s="2" t="s">
        <v>241</v>
      </c>
      <c r="D23" s="2" t="s">
        <v>235</v>
      </c>
      <c r="E23" s="29">
        <v>378.0</v>
      </c>
      <c r="F23" s="29">
        <v>436.0</v>
      </c>
      <c r="G23" s="30">
        <f t="shared" si="1"/>
        <v>407</v>
      </c>
      <c r="H23" s="30">
        <f t="shared" si="2"/>
        <v>58</v>
      </c>
      <c r="I23" s="31">
        <f t="shared" si="3"/>
        <v>0.1425061425</v>
      </c>
    </row>
    <row r="24" ht="22.5" customHeight="1">
      <c r="A24" s="34">
        <v>46031.0</v>
      </c>
      <c r="B24" s="27" t="s">
        <v>243</v>
      </c>
      <c r="C24" s="2" t="s">
        <v>242</v>
      </c>
      <c r="D24" s="2" t="s">
        <v>235</v>
      </c>
      <c r="E24" s="29">
        <v>358.0</v>
      </c>
      <c r="F24" s="29">
        <v>395.0</v>
      </c>
      <c r="G24" s="30">
        <f t="shared" si="1"/>
        <v>376.5</v>
      </c>
      <c r="H24" s="30">
        <f t="shared" si="2"/>
        <v>37</v>
      </c>
      <c r="I24" s="31">
        <f t="shared" si="3"/>
        <v>0.09827357238</v>
      </c>
    </row>
    <row r="25" ht="22.5" customHeight="1">
      <c r="A25" s="34">
        <v>46031.0</v>
      </c>
      <c r="B25" s="27" t="s">
        <v>243</v>
      </c>
      <c r="C25" s="2" t="s">
        <v>207</v>
      </c>
      <c r="D25" s="2" t="s">
        <v>235</v>
      </c>
      <c r="E25" s="29">
        <v>344.0</v>
      </c>
      <c r="F25" s="29">
        <v>430.0</v>
      </c>
      <c r="G25" s="30">
        <f t="shared" si="1"/>
        <v>387</v>
      </c>
      <c r="H25" s="30">
        <f t="shared" si="2"/>
        <v>86</v>
      </c>
      <c r="I25" s="31">
        <f t="shared" si="3"/>
        <v>0.2222222222</v>
      </c>
    </row>
    <row r="26" ht="22.5" customHeight="1">
      <c r="A26" s="34">
        <v>46031.0</v>
      </c>
      <c r="B26" s="27" t="s">
        <v>243</v>
      </c>
      <c r="C26" s="2" t="s">
        <v>208</v>
      </c>
      <c r="D26" s="2" t="s">
        <v>235</v>
      </c>
      <c r="E26" s="29">
        <v>317.0</v>
      </c>
      <c r="F26" s="29">
        <v>375.0</v>
      </c>
      <c r="G26" s="30">
        <f t="shared" si="1"/>
        <v>346</v>
      </c>
      <c r="H26" s="30">
        <f t="shared" si="2"/>
        <v>58</v>
      </c>
      <c r="I26" s="31">
        <f t="shared" si="3"/>
        <v>0.1676300578</v>
      </c>
    </row>
    <row r="27" ht="22.5" customHeight="1">
      <c r="A27" s="35">
        <v>46038.0</v>
      </c>
      <c r="B27" s="33" t="s">
        <v>159</v>
      </c>
      <c r="C27" s="21" t="s">
        <v>231</v>
      </c>
      <c r="D27" s="21"/>
      <c r="E27" s="30">
        <v>183.0</v>
      </c>
      <c r="F27" s="30">
        <v>188.0</v>
      </c>
      <c r="G27" s="30">
        <f t="shared" si="1"/>
        <v>185.5</v>
      </c>
      <c r="H27" s="30">
        <f t="shared" si="2"/>
        <v>5</v>
      </c>
      <c r="I27" s="31">
        <f t="shared" si="3"/>
        <v>0.0269541779</v>
      </c>
    </row>
    <row r="28" ht="22.5" customHeight="1">
      <c r="A28" s="35">
        <v>46038.0</v>
      </c>
      <c r="B28" s="33" t="s">
        <v>159</v>
      </c>
      <c r="C28" s="21" t="s">
        <v>216</v>
      </c>
      <c r="D28" s="21"/>
      <c r="E28" s="30">
        <v>140.0</v>
      </c>
      <c r="F28" s="30">
        <v>177.0</v>
      </c>
      <c r="G28" s="30">
        <f t="shared" si="1"/>
        <v>158.5</v>
      </c>
      <c r="H28" s="30">
        <f t="shared" si="2"/>
        <v>37</v>
      </c>
      <c r="I28" s="31">
        <f t="shared" si="3"/>
        <v>0.2334384858</v>
      </c>
    </row>
    <row r="29" ht="22.5" customHeight="1">
      <c r="A29" s="35">
        <v>46038.0</v>
      </c>
      <c r="B29" s="33" t="s">
        <v>162</v>
      </c>
      <c r="C29" s="21" t="s">
        <v>198</v>
      </c>
      <c r="D29" s="21"/>
      <c r="E29" s="30">
        <v>147.0</v>
      </c>
      <c r="F29" s="30">
        <v>166.0</v>
      </c>
      <c r="G29" s="30">
        <f t="shared" si="1"/>
        <v>156.5</v>
      </c>
      <c r="H29" s="30">
        <f t="shared" si="2"/>
        <v>19</v>
      </c>
      <c r="I29" s="31">
        <f t="shared" si="3"/>
        <v>0.1214057508</v>
      </c>
    </row>
    <row r="30" ht="22.5" customHeight="1">
      <c r="A30" s="35">
        <v>46038.0</v>
      </c>
      <c r="B30" s="33" t="s">
        <v>162</v>
      </c>
      <c r="C30" s="21" t="s">
        <v>199</v>
      </c>
      <c r="D30" s="21"/>
      <c r="E30" s="30">
        <v>139.0</v>
      </c>
      <c r="F30" s="30">
        <v>145.0</v>
      </c>
      <c r="G30" s="30">
        <f t="shared" si="1"/>
        <v>142</v>
      </c>
      <c r="H30" s="30">
        <f t="shared" si="2"/>
        <v>6</v>
      </c>
      <c r="I30" s="31">
        <f t="shared" si="3"/>
        <v>0.04225352113</v>
      </c>
    </row>
    <row r="31" ht="22.5" customHeight="1">
      <c r="A31" s="35">
        <v>46038.0</v>
      </c>
      <c r="B31" s="33" t="s">
        <v>162</v>
      </c>
      <c r="C31" s="21" t="s">
        <v>232</v>
      </c>
      <c r="D31" s="21"/>
      <c r="E31" s="30">
        <v>80.0</v>
      </c>
      <c r="F31" s="30">
        <v>127.0</v>
      </c>
      <c r="G31" s="30">
        <f t="shared" si="1"/>
        <v>103.5</v>
      </c>
      <c r="H31" s="30">
        <f t="shared" si="2"/>
        <v>47</v>
      </c>
      <c r="I31" s="31">
        <f t="shared" si="3"/>
        <v>0.4541062802</v>
      </c>
    </row>
    <row r="32" ht="22.5" customHeight="1">
      <c r="A32" s="35">
        <v>46038.0</v>
      </c>
      <c r="B32" s="33" t="s">
        <v>233</v>
      </c>
      <c r="C32" s="21" t="s">
        <v>234</v>
      </c>
      <c r="D32" s="21" t="s">
        <v>235</v>
      </c>
      <c r="E32" s="30">
        <v>606.0</v>
      </c>
      <c r="F32" s="30">
        <v>725.0</v>
      </c>
      <c r="G32" s="30">
        <f t="shared" si="1"/>
        <v>665.5</v>
      </c>
      <c r="H32" s="30">
        <f t="shared" si="2"/>
        <v>119</v>
      </c>
      <c r="I32" s="31">
        <f t="shared" si="3"/>
        <v>0.1788129226</v>
      </c>
    </row>
    <row r="33" ht="22.5" customHeight="1">
      <c r="A33" s="35">
        <v>46038.0</v>
      </c>
      <c r="B33" s="33" t="s">
        <v>233</v>
      </c>
      <c r="C33" s="21" t="s">
        <v>236</v>
      </c>
      <c r="D33" s="21" t="s">
        <v>235</v>
      </c>
      <c r="E33" s="30">
        <v>585.0</v>
      </c>
      <c r="F33" s="30">
        <v>714.0</v>
      </c>
      <c r="G33" s="30">
        <f t="shared" si="1"/>
        <v>649.5</v>
      </c>
      <c r="H33" s="30">
        <f t="shared" si="2"/>
        <v>129</v>
      </c>
      <c r="I33" s="31">
        <f t="shared" si="3"/>
        <v>0.1986143187</v>
      </c>
    </row>
    <row r="34" ht="22.5" customHeight="1">
      <c r="A34" s="35">
        <v>46038.0</v>
      </c>
      <c r="B34" s="33" t="s">
        <v>233</v>
      </c>
      <c r="C34" s="21" t="s">
        <v>237</v>
      </c>
      <c r="D34" s="21" t="s">
        <v>235</v>
      </c>
      <c r="E34" s="30">
        <v>554.0</v>
      </c>
      <c r="F34" s="30">
        <v>640.0</v>
      </c>
      <c r="G34" s="30">
        <f t="shared" si="1"/>
        <v>597</v>
      </c>
      <c r="H34" s="30">
        <f t="shared" si="2"/>
        <v>86</v>
      </c>
      <c r="I34" s="31">
        <f t="shared" si="3"/>
        <v>0.1440536013</v>
      </c>
    </row>
    <row r="35" ht="22.5" customHeight="1">
      <c r="A35" s="35">
        <v>46038.0</v>
      </c>
      <c r="B35" s="33" t="s">
        <v>233</v>
      </c>
      <c r="C35" s="21" t="s">
        <v>238</v>
      </c>
      <c r="D35" s="21" t="s">
        <v>235</v>
      </c>
      <c r="E35" s="30">
        <v>508.0</v>
      </c>
      <c r="F35" s="30">
        <v>615.0</v>
      </c>
      <c r="G35" s="30">
        <f t="shared" si="1"/>
        <v>561.5</v>
      </c>
      <c r="H35" s="30">
        <f t="shared" si="2"/>
        <v>107</v>
      </c>
      <c r="I35" s="31">
        <f t="shared" si="3"/>
        <v>0.1905609973</v>
      </c>
    </row>
    <row r="36" ht="22.5" customHeight="1">
      <c r="A36" s="35">
        <v>46038.0</v>
      </c>
      <c r="B36" s="33" t="s">
        <v>233</v>
      </c>
      <c r="C36" s="21" t="s">
        <v>239</v>
      </c>
      <c r="D36" s="21" t="s">
        <v>235</v>
      </c>
      <c r="E36" s="30">
        <v>482.0</v>
      </c>
      <c r="F36" s="30">
        <v>605.0</v>
      </c>
      <c r="G36" s="30">
        <f t="shared" si="1"/>
        <v>543.5</v>
      </c>
      <c r="H36" s="30">
        <f t="shared" si="2"/>
        <v>123</v>
      </c>
      <c r="I36" s="31">
        <f t="shared" si="3"/>
        <v>0.2263109476</v>
      </c>
    </row>
    <row r="37" ht="22.5" customHeight="1">
      <c r="A37" s="35">
        <v>46038.0</v>
      </c>
      <c r="B37" s="33" t="s">
        <v>233</v>
      </c>
      <c r="C37" s="21" t="s">
        <v>240</v>
      </c>
      <c r="D37" s="21" t="s">
        <v>235</v>
      </c>
      <c r="E37" s="30">
        <v>445.0</v>
      </c>
      <c r="F37" s="30">
        <v>510.0</v>
      </c>
      <c r="G37" s="30">
        <f t="shared" si="1"/>
        <v>477.5</v>
      </c>
      <c r="H37" s="30">
        <f t="shared" si="2"/>
        <v>65</v>
      </c>
      <c r="I37" s="31">
        <f t="shared" si="3"/>
        <v>0.1361256545</v>
      </c>
    </row>
    <row r="38" ht="22.5" customHeight="1">
      <c r="A38" s="35">
        <v>46038.0</v>
      </c>
      <c r="B38" s="33" t="s">
        <v>233</v>
      </c>
      <c r="C38" s="21" t="s">
        <v>241</v>
      </c>
      <c r="D38" s="21" t="s">
        <v>235</v>
      </c>
      <c r="E38" s="30">
        <v>425.0</v>
      </c>
      <c r="F38" s="30">
        <v>475.0</v>
      </c>
      <c r="G38" s="30">
        <f t="shared" si="1"/>
        <v>450</v>
      </c>
      <c r="H38" s="30">
        <f t="shared" si="2"/>
        <v>50</v>
      </c>
      <c r="I38" s="31">
        <f t="shared" si="3"/>
        <v>0.1111111111</v>
      </c>
    </row>
    <row r="39" ht="22.5" customHeight="1">
      <c r="A39" s="35">
        <v>46038.0</v>
      </c>
      <c r="B39" s="33" t="s">
        <v>233</v>
      </c>
      <c r="C39" s="21" t="s">
        <v>242</v>
      </c>
      <c r="D39" s="21" t="s">
        <v>235</v>
      </c>
      <c r="E39" s="30">
        <v>416.0</v>
      </c>
      <c r="F39" s="30">
        <v>470.0</v>
      </c>
      <c r="G39" s="30">
        <f t="shared" si="1"/>
        <v>443</v>
      </c>
      <c r="H39" s="30">
        <f t="shared" si="2"/>
        <v>54</v>
      </c>
      <c r="I39" s="31">
        <f t="shared" si="3"/>
        <v>0.1218961625</v>
      </c>
    </row>
    <row r="40" ht="22.5" customHeight="1">
      <c r="A40" s="35">
        <v>46038.0</v>
      </c>
      <c r="B40" s="33" t="s">
        <v>233</v>
      </c>
      <c r="C40" s="21" t="s">
        <v>207</v>
      </c>
      <c r="D40" s="21" t="s">
        <v>235</v>
      </c>
      <c r="E40" s="30">
        <v>380.0</v>
      </c>
      <c r="F40" s="30">
        <v>426.0</v>
      </c>
      <c r="G40" s="30">
        <f t="shared" si="1"/>
        <v>403</v>
      </c>
      <c r="H40" s="30">
        <f t="shared" si="2"/>
        <v>46</v>
      </c>
      <c r="I40" s="31">
        <f t="shared" si="3"/>
        <v>0.1141439206</v>
      </c>
    </row>
    <row r="41" ht="22.5" customHeight="1">
      <c r="A41" s="35">
        <v>46038.0</v>
      </c>
      <c r="B41" s="33" t="s">
        <v>233</v>
      </c>
      <c r="C41" s="21" t="s">
        <v>208</v>
      </c>
      <c r="D41" s="21" t="s">
        <v>235</v>
      </c>
      <c r="E41" s="30">
        <v>346.0</v>
      </c>
      <c r="F41" s="30">
        <v>380.0</v>
      </c>
      <c r="G41" s="30">
        <f t="shared" si="1"/>
        <v>363</v>
      </c>
      <c r="H41" s="30">
        <f t="shared" si="2"/>
        <v>34</v>
      </c>
      <c r="I41" s="31">
        <f t="shared" si="3"/>
        <v>0.09366391185</v>
      </c>
    </row>
    <row r="42" ht="22.5" customHeight="1">
      <c r="A42" s="35">
        <v>46038.0</v>
      </c>
      <c r="B42" s="33" t="s">
        <v>243</v>
      </c>
      <c r="C42" s="21" t="s">
        <v>234</v>
      </c>
      <c r="D42" s="21" t="s">
        <v>235</v>
      </c>
      <c r="E42" s="30">
        <v>552.0</v>
      </c>
      <c r="F42" s="30">
        <v>670.0</v>
      </c>
      <c r="G42" s="30">
        <f t="shared" si="1"/>
        <v>611</v>
      </c>
      <c r="H42" s="30">
        <f t="shared" si="2"/>
        <v>118</v>
      </c>
      <c r="I42" s="31">
        <f t="shared" si="3"/>
        <v>0.1931260229</v>
      </c>
    </row>
    <row r="43" ht="22.5" customHeight="1">
      <c r="A43" s="35">
        <v>46038.0</v>
      </c>
      <c r="B43" s="33" t="s">
        <v>243</v>
      </c>
      <c r="C43" s="21" t="s">
        <v>244</v>
      </c>
      <c r="D43" s="21" t="s">
        <v>235</v>
      </c>
      <c r="E43" s="30">
        <v>486.0</v>
      </c>
      <c r="F43" s="30">
        <v>605.0</v>
      </c>
      <c r="G43" s="30">
        <f t="shared" si="1"/>
        <v>545.5</v>
      </c>
      <c r="H43" s="30">
        <f t="shared" si="2"/>
        <v>119</v>
      </c>
      <c r="I43" s="31">
        <f t="shared" si="3"/>
        <v>0.2181484876</v>
      </c>
    </row>
    <row r="44" ht="22.5" customHeight="1">
      <c r="A44" s="35">
        <v>46038.0</v>
      </c>
      <c r="B44" s="33" t="s">
        <v>243</v>
      </c>
      <c r="C44" s="21" t="s">
        <v>237</v>
      </c>
      <c r="D44" s="21" t="s">
        <v>235</v>
      </c>
      <c r="E44" s="30">
        <v>457.0</v>
      </c>
      <c r="F44" s="30">
        <v>565.0</v>
      </c>
      <c r="G44" s="30">
        <f t="shared" si="1"/>
        <v>511</v>
      </c>
      <c r="H44" s="30">
        <f t="shared" si="2"/>
        <v>108</v>
      </c>
      <c r="I44" s="31">
        <f t="shared" si="3"/>
        <v>0.2113502935</v>
      </c>
    </row>
    <row r="45" ht="22.5" customHeight="1">
      <c r="A45" s="35">
        <v>46038.0</v>
      </c>
      <c r="B45" s="33" t="s">
        <v>243</v>
      </c>
      <c r="C45" s="21" t="s">
        <v>238</v>
      </c>
      <c r="D45" s="21" t="s">
        <v>235</v>
      </c>
      <c r="E45" s="30">
        <v>450.0</v>
      </c>
      <c r="F45" s="30">
        <v>600.0</v>
      </c>
      <c r="G45" s="30">
        <f t="shared" si="1"/>
        <v>525</v>
      </c>
      <c r="H45" s="30">
        <f t="shared" si="2"/>
        <v>150</v>
      </c>
      <c r="I45" s="31">
        <f t="shared" si="3"/>
        <v>0.2857142857</v>
      </c>
    </row>
    <row r="46" ht="22.5" customHeight="1">
      <c r="A46" s="35">
        <v>46038.0</v>
      </c>
      <c r="B46" s="33" t="s">
        <v>243</v>
      </c>
      <c r="C46" s="21" t="s">
        <v>239</v>
      </c>
      <c r="D46" s="21" t="s">
        <v>235</v>
      </c>
      <c r="E46" s="30">
        <v>438.0</v>
      </c>
      <c r="F46" s="30">
        <v>512.0</v>
      </c>
      <c r="G46" s="30">
        <f t="shared" si="1"/>
        <v>475</v>
      </c>
      <c r="H46" s="30">
        <f t="shared" si="2"/>
        <v>74</v>
      </c>
      <c r="I46" s="31">
        <f t="shared" si="3"/>
        <v>0.1557894737</v>
      </c>
    </row>
    <row r="47" ht="22.5" customHeight="1">
      <c r="A47" s="35">
        <v>46038.0</v>
      </c>
      <c r="B47" s="33" t="s">
        <v>243</v>
      </c>
      <c r="C47" s="21" t="s">
        <v>240</v>
      </c>
      <c r="D47" s="21" t="s">
        <v>235</v>
      </c>
      <c r="E47" s="30">
        <v>410.0</v>
      </c>
      <c r="F47" s="30">
        <v>510.0</v>
      </c>
      <c r="G47" s="30">
        <f t="shared" si="1"/>
        <v>460</v>
      </c>
      <c r="H47" s="30">
        <f t="shared" si="2"/>
        <v>100</v>
      </c>
      <c r="I47" s="31">
        <f t="shared" si="3"/>
        <v>0.2173913043</v>
      </c>
    </row>
    <row r="48" ht="22.5" customHeight="1">
      <c r="A48" s="35">
        <v>46038.0</v>
      </c>
      <c r="B48" s="33" t="s">
        <v>243</v>
      </c>
      <c r="C48" s="21" t="s">
        <v>241</v>
      </c>
      <c r="D48" s="21" t="s">
        <v>235</v>
      </c>
      <c r="E48" s="30">
        <v>378.0</v>
      </c>
      <c r="F48" s="30">
        <v>505.0</v>
      </c>
      <c r="G48" s="30">
        <f t="shared" si="1"/>
        <v>441.5</v>
      </c>
      <c r="H48" s="30">
        <f t="shared" si="2"/>
        <v>127</v>
      </c>
      <c r="I48" s="31">
        <f t="shared" si="3"/>
        <v>0.2876557191</v>
      </c>
    </row>
    <row r="49" ht="22.5" customHeight="1">
      <c r="A49" s="35">
        <v>46038.0</v>
      </c>
      <c r="B49" s="33" t="s">
        <v>243</v>
      </c>
      <c r="C49" s="21" t="s">
        <v>242</v>
      </c>
      <c r="D49" s="21" t="s">
        <v>235</v>
      </c>
      <c r="E49" s="30">
        <v>345.0</v>
      </c>
      <c r="F49" s="30">
        <v>400.0</v>
      </c>
      <c r="G49" s="30">
        <f t="shared" si="1"/>
        <v>372.5</v>
      </c>
      <c r="H49" s="30">
        <f t="shared" si="2"/>
        <v>55</v>
      </c>
      <c r="I49" s="31">
        <f t="shared" si="3"/>
        <v>0.1476510067</v>
      </c>
    </row>
    <row r="50" ht="22.5" customHeight="1">
      <c r="A50" s="35">
        <v>46038.0</v>
      </c>
      <c r="B50" s="33" t="s">
        <v>243</v>
      </c>
      <c r="C50" s="21" t="s">
        <v>207</v>
      </c>
      <c r="D50" s="21" t="s">
        <v>235</v>
      </c>
      <c r="E50" s="30">
        <v>338.0</v>
      </c>
      <c r="F50" s="30">
        <v>495.0</v>
      </c>
      <c r="G50" s="30">
        <f t="shared" si="1"/>
        <v>416.5</v>
      </c>
      <c r="H50" s="30">
        <f t="shared" si="2"/>
        <v>157</v>
      </c>
      <c r="I50" s="31">
        <f t="shared" si="3"/>
        <v>0.3769507803</v>
      </c>
    </row>
    <row r="51" ht="22.5" customHeight="1">
      <c r="A51" s="35">
        <v>46038.0</v>
      </c>
      <c r="B51" s="33" t="s">
        <v>243</v>
      </c>
      <c r="C51" s="21" t="s">
        <v>208</v>
      </c>
      <c r="D51" s="21" t="s">
        <v>235</v>
      </c>
      <c r="E51" s="30">
        <v>307.0</v>
      </c>
      <c r="F51" s="30">
        <v>350.0</v>
      </c>
      <c r="G51" s="30">
        <f t="shared" si="1"/>
        <v>328.5</v>
      </c>
      <c r="H51" s="30">
        <f t="shared" si="2"/>
        <v>43</v>
      </c>
      <c r="I51" s="31">
        <f t="shared" si="3"/>
        <v>0.1308980213</v>
      </c>
    </row>
    <row r="52" ht="22.5" customHeight="1">
      <c r="A52" s="35">
        <v>46052.0</v>
      </c>
      <c r="B52" s="33" t="s">
        <v>159</v>
      </c>
      <c r="C52" s="21" t="s">
        <v>231</v>
      </c>
      <c r="D52" s="21"/>
      <c r="E52" s="30">
        <v>185.0</v>
      </c>
      <c r="F52" s="30">
        <v>208.0</v>
      </c>
      <c r="G52" s="30">
        <f t="shared" si="1"/>
        <v>196.5</v>
      </c>
      <c r="H52" s="30">
        <f t="shared" si="2"/>
        <v>23</v>
      </c>
      <c r="I52" s="31">
        <f t="shared" si="3"/>
        <v>0.1170483461</v>
      </c>
    </row>
    <row r="53" ht="22.5" customHeight="1">
      <c r="A53" s="35">
        <v>46052.0</v>
      </c>
      <c r="B53" s="33" t="s">
        <v>159</v>
      </c>
      <c r="C53" s="21" t="s">
        <v>216</v>
      </c>
      <c r="D53" s="21"/>
      <c r="E53" s="30">
        <v>135.0</v>
      </c>
      <c r="F53" s="30">
        <v>184.0</v>
      </c>
      <c r="G53" s="30">
        <f t="shared" si="1"/>
        <v>159.5</v>
      </c>
      <c r="H53" s="30">
        <f t="shared" si="2"/>
        <v>49</v>
      </c>
      <c r="I53" s="31">
        <f t="shared" si="3"/>
        <v>0.3072100313</v>
      </c>
    </row>
    <row r="54" ht="22.5" customHeight="1">
      <c r="A54" s="35">
        <v>46052.0</v>
      </c>
      <c r="B54" s="33" t="s">
        <v>162</v>
      </c>
      <c r="C54" s="21" t="s">
        <v>198</v>
      </c>
      <c r="D54" s="21"/>
      <c r="E54" s="30">
        <v>148.0</v>
      </c>
      <c r="F54" s="30">
        <v>167.0</v>
      </c>
      <c r="G54" s="30">
        <f t="shared" si="1"/>
        <v>157.5</v>
      </c>
      <c r="H54" s="30">
        <f t="shared" si="2"/>
        <v>19</v>
      </c>
      <c r="I54" s="31">
        <f t="shared" si="3"/>
        <v>0.1206349206</v>
      </c>
    </row>
    <row r="55" ht="22.5" customHeight="1">
      <c r="A55" s="35">
        <v>46052.0</v>
      </c>
      <c r="B55" s="33" t="s">
        <v>162</v>
      </c>
      <c r="C55" s="21" t="s">
        <v>199</v>
      </c>
      <c r="D55" s="21"/>
      <c r="E55" s="30">
        <v>140.0</v>
      </c>
      <c r="F55" s="30">
        <v>147.0</v>
      </c>
      <c r="G55" s="30">
        <f t="shared" si="1"/>
        <v>143.5</v>
      </c>
      <c r="H55" s="30">
        <f t="shared" si="2"/>
        <v>7</v>
      </c>
      <c r="I55" s="31">
        <f t="shared" si="3"/>
        <v>0.0487804878</v>
      </c>
    </row>
    <row r="56" ht="22.5" customHeight="1">
      <c r="A56" s="35">
        <v>46052.0</v>
      </c>
      <c r="B56" s="33" t="s">
        <v>162</v>
      </c>
      <c r="C56" s="21" t="s">
        <v>232</v>
      </c>
      <c r="D56" s="21"/>
      <c r="E56" s="30">
        <v>74.0</v>
      </c>
      <c r="F56" s="30">
        <v>139.0</v>
      </c>
      <c r="G56" s="30">
        <f t="shared" si="1"/>
        <v>106.5</v>
      </c>
      <c r="H56" s="30">
        <f t="shared" si="2"/>
        <v>65</v>
      </c>
      <c r="I56" s="31">
        <f t="shared" si="3"/>
        <v>0.6103286385</v>
      </c>
    </row>
    <row r="57" ht="22.5" customHeight="1">
      <c r="A57" s="35">
        <v>46052.0</v>
      </c>
      <c r="B57" s="33" t="s">
        <v>233</v>
      </c>
      <c r="C57" s="21" t="s">
        <v>234</v>
      </c>
      <c r="D57" s="21" t="s">
        <v>235</v>
      </c>
      <c r="E57" s="30">
        <v>563.0</v>
      </c>
      <c r="F57" s="30">
        <v>640.0</v>
      </c>
      <c r="G57" s="30">
        <f t="shared" si="1"/>
        <v>601.5</v>
      </c>
      <c r="H57" s="30">
        <f t="shared" si="2"/>
        <v>77</v>
      </c>
      <c r="I57" s="31">
        <f t="shared" si="3"/>
        <v>0.1280133001</v>
      </c>
    </row>
    <row r="58" ht="22.5" customHeight="1">
      <c r="A58" s="35">
        <v>46052.0</v>
      </c>
      <c r="B58" s="33" t="s">
        <v>233</v>
      </c>
      <c r="C58" s="21" t="s">
        <v>236</v>
      </c>
      <c r="D58" s="21" t="s">
        <v>235</v>
      </c>
      <c r="E58" s="30">
        <v>520.0</v>
      </c>
      <c r="F58" s="30">
        <v>645.0</v>
      </c>
      <c r="G58" s="30">
        <f t="shared" si="1"/>
        <v>582.5</v>
      </c>
      <c r="H58" s="30">
        <f t="shared" si="2"/>
        <v>125</v>
      </c>
      <c r="I58" s="31">
        <f t="shared" si="3"/>
        <v>0.2145922747</v>
      </c>
    </row>
    <row r="59" ht="22.5" customHeight="1">
      <c r="A59" s="35">
        <v>46052.0</v>
      </c>
      <c r="B59" s="33" t="s">
        <v>233</v>
      </c>
      <c r="C59" s="21" t="s">
        <v>237</v>
      </c>
      <c r="D59" s="21" t="s">
        <v>235</v>
      </c>
      <c r="E59" s="30">
        <v>510.0</v>
      </c>
      <c r="F59" s="30">
        <v>645.0</v>
      </c>
      <c r="G59" s="30">
        <f t="shared" si="1"/>
        <v>577.5</v>
      </c>
      <c r="H59" s="30">
        <f t="shared" si="2"/>
        <v>135</v>
      </c>
      <c r="I59" s="31">
        <f t="shared" si="3"/>
        <v>0.2337662338</v>
      </c>
    </row>
    <row r="60" ht="22.5" customHeight="1">
      <c r="A60" s="35">
        <v>46052.0</v>
      </c>
      <c r="B60" s="33" t="s">
        <v>233</v>
      </c>
      <c r="C60" s="21" t="s">
        <v>238</v>
      </c>
      <c r="D60" s="21" t="s">
        <v>235</v>
      </c>
      <c r="E60" s="30">
        <v>480.0</v>
      </c>
      <c r="F60" s="30">
        <v>555.0</v>
      </c>
      <c r="G60" s="30">
        <f t="shared" si="1"/>
        <v>517.5</v>
      </c>
      <c r="H60" s="30">
        <f t="shared" si="2"/>
        <v>75</v>
      </c>
      <c r="I60" s="31">
        <f t="shared" si="3"/>
        <v>0.1449275362</v>
      </c>
    </row>
    <row r="61" ht="22.5" customHeight="1">
      <c r="A61" s="35">
        <v>46052.0</v>
      </c>
      <c r="B61" s="33" t="s">
        <v>233</v>
      </c>
      <c r="C61" s="21" t="s">
        <v>239</v>
      </c>
      <c r="D61" s="21" t="s">
        <v>235</v>
      </c>
      <c r="E61" s="30">
        <v>466.0</v>
      </c>
      <c r="F61" s="30">
        <v>550.0</v>
      </c>
      <c r="G61" s="30">
        <f t="shared" si="1"/>
        <v>508</v>
      </c>
      <c r="H61" s="30">
        <f t="shared" si="2"/>
        <v>84</v>
      </c>
      <c r="I61" s="31">
        <f t="shared" si="3"/>
        <v>0.1653543307</v>
      </c>
    </row>
    <row r="62" ht="22.5" customHeight="1">
      <c r="A62" s="35">
        <v>46052.0</v>
      </c>
      <c r="B62" s="33" t="s">
        <v>233</v>
      </c>
      <c r="C62" s="21" t="s">
        <v>240</v>
      </c>
      <c r="D62" s="21" t="s">
        <v>235</v>
      </c>
      <c r="E62" s="30">
        <v>437.0</v>
      </c>
      <c r="F62" s="30">
        <v>525.0</v>
      </c>
      <c r="G62" s="30">
        <f t="shared" si="1"/>
        <v>481</v>
      </c>
      <c r="H62" s="30">
        <f t="shared" si="2"/>
        <v>88</v>
      </c>
      <c r="I62" s="31">
        <f t="shared" si="3"/>
        <v>0.182952183</v>
      </c>
    </row>
    <row r="63" ht="22.5" customHeight="1">
      <c r="A63" s="35">
        <v>46052.0</v>
      </c>
      <c r="B63" s="33" t="s">
        <v>233</v>
      </c>
      <c r="C63" s="21" t="s">
        <v>241</v>
      </c>
      <c r="D63" s="21" t="s">
        <v>235</v>
      </c>
      <c r="E63" s="30">
        <v>410.0</v>
      </c>
      <c r="F63" s="30">
        <v>490.0</v>
      </c>
      <c r="G63" s="30">
        <f t="shared" si="1"/>
        <v>450</v>
      </c>
      <c r="H63" s="30">
        <f t="shared" si="2"/>
        <v>80</v>
      </c>
      <c r="I63" s="31">
        <f t="shared" si="3"/>
        <v>0.1777777778</v>
      </c>
    </row>
    <row r="64" ht="22.5" customHeight="1">
      <c r="A64" s="35">
        <v>46052.0</v>
      </c>
      <c r="B64" s="33" t="s">
        <v>233</v>
      </c>
      <c r="C64" s="21" t="s">
        <v>242</v>
      </c>
      <c r="D64" s="21" t="s">
        <v>235</v>
      </c>
      <c r="E64" s="30">
        <v>400.0</v>
      </c>
      <c r="F64" s="30">
        <v>440.0</v>
      </c>
      <c r="G64" s="30">
        <f t="shared" si="1"/>
        <v>420</v>
      </c>
      <c r="H64" s="30">
        <f t="shared" si="2"/>
        <v>40</v>
      </c>
      <c r="I64" s="31">
        <f t="shared" si="3"/>
        <v>0.09523809524</v>
      </c>
    </row>
    <row r="65" ht="22.5" customHeight="1">
      <c r="A65" s="35">
        <v>46052.0</v>
      </c>
      <c r="B65" s="33" t="s">
        <v>233</v>
      </c>
      <c r="C65" s="21" t="s">
        <v>207</v>
      </c>
      <c r="D65" s="21" t="s">
        <v>235</v>
      </c>
      <c r="E65" s="30">
        <v>368.0</v>
      </c>
      <c r="F65" s="30">
        <v>430.0</v>
      </c>
      <c r="G65" s="30">
        <f t="shared" si="1"/>
        <v>399</v>
      </c>
      <c r="H65" s="30">
        <f t="shared" si="2"/>
        <v>62</v>
      </c>
      <c r="I65" s="31">
        <f t="shared" si="3"/>
        <v>0.1553884712</v>
      </c>
    </row>
    <row r="66" ht="22.5" customHeight="1">
      <c r="A66" s="35">
        <v>46052.0</v>
      </c>
      <c r="B66" s="33" t="s">
        <v>233</v>
      </c>
      <c r="C66" s="21" t="s">
        <v>208</v>
      </c>
      <c r="D66" s="21" t="s">
        <v>235</v>
      </c>
      <c r="E66" s="30">
        <v>339.0</v>
      </c>
      <c r="F66" s="30">
        <v>368.0</v>
      </c>
      <c r="G66" s="30">
        <f t="shared" si="1"/>
        <v>353.5</v>
      </c>
      <c r="H66" s="30">
        <f t="shared" si="2"/>
        <v>29</v>
      </c>
      <c r="I66" s="31">
        <f t="shared" si="3"/>
        <v>0.08203677511</v>
      </c>
    </row>
    <row r="67" ht="22.5" customHeight="1">
      <c r="A67" s="35">
        <v>46052.0</v>
      </c>
      <c r="B67" s="33" t="s">
        <v>243</v>
      </c>
      <c r="C67" s="21" t="s">
        <v>234</v>
      </c>
      <c r="D67" s="21" t="s">
        <v>235</v>
      </c>
      <c r="E67" s="30">
        <v>461.0</v>
      </c>
      <c r="F67" s="30">
        <v>540.0</v>
      </c>
      <c r="G67" s="30">
        <f t="shared" si="1"/>
        <v>500.5</v>
      </c>
      <c r="H67" s="30">
        <f t="shared" si="2"/>
        <v>79</v>
      </c>
      <c r="I67" s="31">
        <f t="shared" si="3"/>
        <v>0.1578421578</v>
      </c>
    </row>
    <row r="68" ht="22.5" customHeight="1">
      <c r="A68" s="35">
        <v>46052.0</v>
      </c>
      <c r="B68" s="33" t="s">
        <v>243</v>
      </c>
      <c r="C68" s="21" t="s">
        <v>244</v>
      </c>
      <c r="D68" s="21" t="s">
        <v>235</v>
      </c>
      <c r="E68" s="30">
        <v>450.0</v>
      </c>
      <c r="F68" s="30">
        <v>525.0</v>
      </c>
      <c r="G68" s="30">
        <f t="shared" si="1"/>
        <v>487.5</v>
      </c>
      <c r="H68" s="30">
        <f t="shared" si="2"/>
        <v>75</v>
      </c>
      <c r="I68" s="31">
        <f t="shared" si="3"/>
        <v>0.1538461538</v>
      </c>
    </row>
    <row r="69" ht="22.5" customHeight="1">
      <c r="A69" s="35">
        <v>46052.0</v>
      </c>
      <c r="B69" s="33" t="s">
        <v>243</v>
      </c>
      <c r="C69" s="21" t="s">
        <v>237</v>
      </c>
      <c r="D69" s="21" t="s">
        <v>235</v>
      </c>
      <c r="E69" s="30">
        <v>444.0</v>
      </c>
      <c r="F69" s="30">
        <v>630.0</v>
      </c>
      <c r="G69" s="30">
        <f t="shared" si="1"/>
        <v>537</v>
      </c>
      <c r="H69" s="30">
        <f t="shared" si="2"/>
        <v>186</v>
      </c>
      <c r="I69" s="31">
        <f t="shared" si="3"/>
        <v>0.3463687151</v>
      </c>
    </row>
    <row r="70" ht="22.5" customHeight="1">
      <c r="A70" s="35">
        <v>46052.0</v>
      </c>
      <c r="B70" s="33" t="s">
        <v>243</v>
      </c>
      <c r="C70" s="21" t="s">
        <v>238</v>
      </c>
      <c r="D70" s="21" t="s">
        <v>235</v>
      </c>
      <c r="E70" s="30">
        <v>420.0</v>
      </c>
      <c r="F70" s="30">
        <v>525.0</v>
      </c>
      <c r="G70" s="30">
        <f t="shared" si="1"/>
        <v>472.5</v>
      </c>
      <c r="H70" s="30">
        <f t="shared" si="2"/>
        <v>105</v>
      </c>
      <c r="I70" s="31">
        <f t="shared" si="3"/>
        <v>0.2222222222</v>
      </c>
    </row>
    <row r="71" ht="22.5" customHeight="1">
      <c r="A71" s="35">
        <v>46052.0</v>
      </c>
      <c r="B71" s="33" t="s">
        <v>243</v>
      </c>
      <c r="C71" s="21" t="s">
        <v>239</v>
      </c>
      <c r="D71" s="21" t="s">
        <v>235</v>
      </c>
      <c r="E71" s="30">
        <v>410.0</v>
      </c>
      <c r="F71" s="30">
        <v>494.0</v>
      </c>
      <c r="G71" s="30">
        <f t="shared" si="1"/>
        <v>452</v>
      </c>
      <c r="H71" s="30">
        <f t="shared" si="2"/>
        <v>84</v>
      </c>
      <c r="I71" s="31">
        <f t="shared" si="3"/>
        <v>0.185840708</v>
      </c>
    </row>
    <row r="72" ht="22.5" customHeight="1">
      <c r="A72" s="35">
        <v>46052.0</v>
      </c>
      <c r="B72" s="33" t="s">
        <v>243</v>
      </c>
      <c r="C72" s="21" t="s">
        <v>240</v>
      </c>
      <c r="D72" s="21" t="s">
        <v>235</v>
      </c>
      <c r="E72" s="30">
        <v>383.0</v>
      </c>
      <c r="F72" s="30">
        <v>500.0</v>
      </c>
      <c r="G72" s="30">
        <f t="shared" si="1"/>
        <v>441.5</v>
      </c>
      <c r="H72" s="30">
        <f t="shared" si="2"/>
        <v>117</v>
      </c>
      <c r="I72" s="31">
        <f t="shared" si="3"/>
        <v>0.2650056625</v>
      </c>
    </row>
    <row r="73" ht="22.5" customHeight="1">
      <c r="A73" s="35">
        <v>46052.0</v>
      </c>
      <c r="B73" s="33" t="s">
        <v>243</v>
      </c>
      <c r="C73" s="21" t="s">
        <v>241</v>
      </c>
      <c r="D73" s="21" t="s">
        <v>235</v>
      </c>
      <c r="E73" s="30">
        <v>381.0</v>
      </c>
      <c r="F73" s="30">
        <v>450.0</v>
      </c>
      <c r="G73" s="30">
        <f t="shared" si="1"/>
        <v>415.5</v>
      </c>
      <c r="H73" s="30">
        <f t="shared" si="2"/>
        <v>69</v>
      </c>
      <c r="I73" s="31">
        <f t="shared" si="3"/>
        <v>0.1660649819</v>
      </c>
    </row>
    <row r="74" ht="22.5" customHeight="1">
      <c r="A74" s="35">
        <v>46052.0</v>
      </c>
      <c r="B74" s="33" t="s">
        <v>243</v>
      </c>
      <c r="C74" s="21" t="s">
        <v>242</v>
      </c>
      <c r="D74" s="21" t="s">
        <v>235</v>
      </c>
      <c r="E74" s="30">
        <v>351.0</v>
      </c>
      <c r="F74" s="30">
        <v>400.0</v>
      </c>
      <c r="G74" s="30">
        <f t="shared" si="1"/>
        <v>375.5</v>
      </c>
      <c r="H74" s="30">
        <f t="shared" si="2"/>
        <v>49</v>
      </c>
      <c r="I74" s="31">
        <f t="shared" si="3"/>
        <v>0.1304926764</v>
      </c>
    </row>
    <row r="75" ht="22.5" customHeight="1">
      <c r="A75" s="35">
        <v>46052.0</v>
      </c>
      <c r="B75" s="33" t="s">
        <v>243</v>
      </c>
      <c r="C75" s="21" t="s">
        <v>207</v>
      </c>
      <c r="D75" s="21" t="s">
        <v>235</v>
      </c>
      <c r="E75" s="30">
        <v>338.0</v>
      </c>
      <c r="F75" s="30">
        <v>398.0</v>
      </c>
      <c r="G75" s="30">
        <f t="shared" si="1"/>
        <v>368</v>
      </c>
      <c r="H75" s="30">
        <f t="shared" si="2"/>
        <v>60</v>
      </c>
      <c r="I75" s="31">
        <f t="shared" si="3"/>
        <v>0.1630434783</v>
      </c>
    </row>
    <row r="76" ht="22.5" customHeight="1">
      <c r="A76" s="35">
        <v>46052.0</v>
      </c>
      <c r="B76" s="33" t="s">
        <v>243</v>
      </c>
      <c r="C76" s="21" t="s">
        <v>208</v>
      </c>
      <c r="D76" s="21" t="s">
        <v>235</v>
      </c>
      <c r="E76" s="30">
        <v>305.0</v>
      </c>
      <c r="F76" s="30">
        <v>332.0</v>
      </c>
      <c r="G76" s="30">
        <f t="shared" si="1"/>
        <v>318.5</v>
      </c>
      <c r="H76" s="30">
        <f t="shared" si="2"/>
        <v>27</v>
      </c>
      <c r="I76" s="31">
        <f t="shared" si="3"/>
        <v>0.08477237049</v>
      </c>
    </row>
    <row r="77" ht="22.5" customHeight="1">
      <c r="A77" s="35">
        <v>46059.0</v>
      </c>
      <c r="B77" s="33" t="s">
        <v>159</v>
      </c>
      <c r="C77" s="21" t="s">
        <v>231</v>
      </c>
      <c r="D77" s="21"/>
      <c r="E77" s="30">
        <v>189.0</v>
      </c>
      <c r="F77" s="30">
        <v>196.0</v>
      </c>
      <c r="G77" s="30">
        <f t="shared" si="1"/>
        <v>192.5</v>
      </c>
      <c r="H77" s="30">
        <f t="shared" si="2"/>
        <v>7</v>
      </c>
      <c r="I77" s="31">
        <f t="shared" si="3"/>
        <v>0.03636363636</v>
      </c>
    </row>
    <row r="78" ht="22.5" customHeight="1">
      <c r="A78" s="35">
        <v>46059.0</v>
      </c>
      <c r="B78" s="33" t="s">
        <v>159</v>
      </c>
      <c r="C78" s="21" t="s">
        <v>216</v>
      </c>
      <c r="D78" s="21"/>
      <c r="E78" s="30">
        <v>155.0</v>
      </c>
      <c r="F78" s="30">
        <v>178.0</v>
      </c>
      <c r="G78" s="30">
        <f t="shared" si="1"/>
        <v>166.5</v>
      </c>
      <c r="H78" s="30">
        <f t="shared" si="2"/>
        <v>23</v>
      </c>
      <c r="I78" s="31">
        <f t="shared" si="3"/>
        <v>0.1381381381</v>
      </c>
    </row>
    <row r="79" ht="22.5" customHeight="1">
      <c r="A79" s="35">
        <v>46059.0</v>
      </c>
      <c r="B79" s="33" t="s">
        <v>162</v>
      </c>
      <c r="C79" s="21" t="s">
        <v>198</v>
      </c>
      <c r="D79" s="21"/>
      <c r="E79" s="30">
        <v>161.0</v>
      </c>
      <c r="F79" s="30">
        <v>169.0</v>
      </c>
      <c r="G79" s="30">
        <f t="shared" si="1"/>
        <v>165</v>
      </c>
      <c r="H79" s="30">
        <f t="shared" si="2"/>
        <v>8</v>
      </c>
      <c r="I79" s="31">
        <f t="shared" si="3"/>
        <v>0.04848484848</v>
      </c>
    </row>
    <row r="80" ht="22.5" customHeight="1">
      <c r="A80" s="35">
        <v>46059.0</v>
      </c>
      <c r="B80" s="33" t="s">
        <v>162</v>
      </c>
      <c r="C80" s="21" t="s">
        <v>199</v>
      </c>
      <c r="D80" s="21"/>
      <c r="E80" s="30">
        <v>150.0</v>
      </c>
      <c r="F80" s="30">
        <v>153.0</v>
      </c>
      <c r="G80" s="30">
        <f t="shared" si="1"/>
        <v>151.5</v>
      </c>
      <c r="H80" s="30">
        <f t="shared" si="2"/>
        <v>3</v>
      </c>
      <c r="I80" s="31">
        <f t="shared" si="3"/>
        <v>0.0198019802</v>
      </c>
    </row>
    <row r="81" ht="22.5" customHeight="1">
      <c r="A81" s="35">
        <v>46059.0</v>
      </c>
      <c r="B81" s="33" t="s">
        <v>162</v>
      </c>
      <c r="C81" s="21" t="s">
        <v>232</v>
      </c>
      <c r="D81" s="21"/>
      <c r="E81" s="30">
        <v>86.0</v>
      </c>
      <c r="F81" s="30">
        <v>143.0</v>
      </c>
      <c r="G81" s="30">
        <f t="shared" si="1"/>
        <v>114.5</v>
      </c>
      <c r="H81" s="30">
        <f t="shared" si="2"/>
        <v>57</v>
      </c>
      <c r="I81" s="31">
        <f t="shared" si="3"/>
        <v>0.4978165939</v>
      </c>
    </row>
    <row r="82" ht="22.5" customHeight="1">
      <c r="A82" s="35">
        <v>46059.0</v>
      </c>
      <c r="B82" s="33" t="s">
        <v>233</v>
      </c>
      <c r="C82" s="21" t="s">
        <v>234</v>
      </c>
      <c r="D82" s="21" t="s">
        <v>235</v>
      </c>
      <c r="E82" s="30">
        <v>535.0</v>
      </c>
      <c r="F82" s="30">
        <v>655.0</v>
      </c>
      <c r="G82" s="30">
        <f t="shared" si="1"/>
        <v>595</v>
      </c>
      <c r="H82" s="30">
        <f t="shared" si="2"/>
        <v>120</v>
      </c>
      <c r="I82" s="31">
        <f t="shared" si="3"/>
        <v>0.2016806723</v>
      </c>
    </row>
    <row r="83" ht="22.5" customHeight="1">
      <c r="A83" s="35">
        <v>46059.0</v>
      </c>
      <c r="B83" s="33" t="s">
        <v>233</v>
      </c>
      <c r="C83" s="21" t="s">
        <v>236</v>
      </c>
      <c r="D83" s="21" t="s">
        <v>235</v>
      </c>
      <c r="E83" s="30">
        <v>559.0</v>
      </c>
      <c r="F83" s="30">
        <v>655.0</v>
      </c>
      <c r="G83" s="30">
        <f t="shared" si="1"/>
        <v>607</v>
      </c>
      <c r="H83" s="30">
        <f t="shared" si="2"/>
        <v>96</v>
      </c>
      <c r="I83" s="31">
        <f t="shared" si="3"/>
        <v>0.15815486</v>
      </c>
    </row>
    <row r="84" ht="22.5" customHeight="1">
      <c r="A84" s="35">
        <v>46059.0</v>
      </c>
      <c r="B84" s="33" t="s">
        <v>233</v>
      </c>
      <c r="C84" s="21" t="s">
        <v>237</v>
      </c>
      <c r="D84" s="21" t="s">
        <v>235</v>
      </c>
      <c r="E84" s="30">
        <v>549.0</v>
      </c>
      <c r="F84" s="30">
        <v>635.0</v>
      </c>
      <c r="G84" s="30">
        <f t="shared" si="1"/>
        <v>592</v>
      </c>
      <c r="H84" s="30">
        <f t="shared" si="2"/>
        <v>86</v>
      </c>
      <c r="I84" s="31">
        <f t="shared" si="3"/>
        <v>0.1452702703</v>
      </c>
    </row>
    <row r="85" ht="22.5" customHeight="1">
      <c r="A85" s="35">
        <v>46059.0</v>
      </c>
      <c r="B85" s="33" t="s">
        <v>233</v>
      </c>
      <c r="C85" s="21" t="s">
        <v>238</v>
      </c>
      <c r="D85" s="21" t="s">
        <v>235</v>
      </c>
      <c r="E85" s="30">
        <v>522.0</v>
      </c>
      <c r="F85" s="30">
        <v>610.0</v>
      </c>
      <c r="G85" s="30">
        <f t="shared" si="1"/>
        <v>566</v>
      </c>
      <c r="H85" s="30">
        <f t="shared" si="2"/>
        <v>88</v>
      </c>
      <c r="I85" s="31">
        <f t="shared" si="3"/>
        <v>0.1554770318</v>
      </c>
    </row>
    <row r="86" ht="22.5" customHeight="1">
      <c r="A86" s="35">
        <v>46059.0</v>
      </c>
      <c r="B86" s="33" t="s">
        <v>233</v>
      </c>
      <c r="C86" s="21" t="s">
        <v>239</v>
      </c>
      <c r="D86" s="21" t="s">
        <v>235</v>
      </c>
      <c r="E86" s="30">
        <v>505.0</v>
      </c>
      <c r="F86" s="30">
        <v>585.0</v>
      </c>
      <c r="G86" s="30">
        <f t="shared" si="1"/>
        <v>545</v>
      </c>
      <c r="H86" s="30">
        <f t="shared" si="2"/>
        <v>80</v>
      </c>
      <c r="I86" s="31">
        <f t="shared" si="3"/>
        <v>0.1467889908</v>
      </c>
    </row>
    <row r="87" ht="22.5" customHeight="1">
      <c r="A87" s="35">
        <v>46059.0</v>
      </c>
      <c r="B87" s="33" t="s">
        <v>233</v>
      </c>
      <c r="C87" s="21" t="s">
        <v>240</v>
      </c>
      <c r="D87" s="21" t="s">
        <v>235</v>
      </c>
      <c r="E87" s="30">
        <v>490.0</v>
      </c>
      <c r="F87" s="30">
        <v>555.0</v>
      </c>
      <c r="G87" s="30">
        <f t="shared" si="1"/>
        <v>522.5</v>
      </c>
      <c r="H87" s="30">
        <f t="shared" si="2"/>
        <v>65</v>
      </c>
      <c r="I87" s="31">
        <f t="shared" si="3"/>
        <v>0.1244019139</v>
      </c>
    </row>
    <row r="88" ht="22.5" customHeight="1">
      <c r="A88" s="35">
        <v>46059.0</v>
      </c>
      <c r="B88" s="33" t="s">
        <v>233</v>
      </c>
      <c r="C88" s="21" t="s">
        <v>241</v>
      </c>
      <c r="D88" s="21" t="s">
        <v>235</v>
      </c>
      <c r="E88" s="30">
        <v>459.0</v>
      </c>
      <c r="F88" s="30">
        <v>542.0</v>
      </c>
      <c r="G88" s="30">
        <f t="shared" si="1"/>
        <v>500.5</v>
      </c>
      <c r="H88" s="30">
        <f t="shared" si="2"/>
        <v>83</v>
      </c>
      <c r="I88" s="31">
        <f t="shared" si="3"/>
        <v>0.1658341658</v>
      </c>
    </row>
    <row r="89" ht="22.5" customHeight="1">
      <c r="A89" s="35">
        <v>46059.0</v>
      </c>
      <c r="B89" s="33" t="s">
        <v>233</v>
      </c>
      <c r="C89" s="21" t="s">
        <v>242</v>
      </c>
      <c r="D89" s="21" t="s">
        <v>235</v>
      </c>
      <c r="E89" s="30">
        <v>431.0</v>
      </c>
      <c r="F89" s="30">
        <v>480.0</v>
      </c>
      <c r="G89" s="30">
        <f t="shared" si="1"/>
        <v>455.5</v>
      </c>
      <c r="H89" s="30">
        <f t="shared" si="2"/>
        <v>49</v>
      </c>
      <c r="I89" s="31">
        <f t="shared" si="3"/>
        <v>0.1075740944</v>
      </c>
    </row>
    <row r="90" ht="22.5" customHeight="1">
      <c r="A90" s="35">
        <v>46059.0</v>
      </c>
      <c r="B90" s="33" t="s">
        <v>233</v>
      </c>
      <c r="C90" s="21" t="s">
        <v>207</v>
      </c>
      <c r="D90" s="21" t="s">
        <v>235</v>
      </c>
      <c r="E90" s="30">
        <v>393.0</v>
      </c>
      <c r="F90" s="30">
        <v>445.0</v>
      </c>
      <c r="G90" s="30">
        <f t="shared" si="1"/>
        <v>419</v>
      </c>
      <c r="H90" s="30">
        <f t="shared" si="2"/>
        <v>52</v>
      </c>
      <c r="I90" s="31">
        <f t="shared" si="3"/>
        <v>0.1241050119</v>
      </c>
    </row>
    <row r="91" ht="22.5" customHeight="1">
      <c r="A91" s="35">
        <v>46059.0</v>
      </c>
      <c r="B91" s="33" t="s">
        <v>233</v>
      </c>
      <c r="C91" s="21" t="s">
        <v>208</v>
      </c>
      <c r="D91" s="21" t="s">
        <v>235</v>
      </c>
      <c r="E91" s="30">
        <v>351.0</v>
      </c>
      <c r="F91" s="30">
        <v>395.0</v>
      </c>
      <c r="G91" s="30">
        <f t="shared" si="1"/>
        <v>373</v>
      </c>
      <c r="H91" s="30">
        <f t="shared" si="2"/>
        <v>44</v>
      </c>
      <c r="I91" s="31">
        <f t="shared" si="3"/>
        <v>0.1179624665</v>
      </c>
    </row>
    <row r="92" ht="22.5" customHeight="1">
      <c r="A92" s="35">
        <v>46059.0</v>
      </c>
      <c r="B92" s="33" t="s">
        <v>243</v>
      </c>
      <c r="C92" s="21" t="s">
        <v>234</v>
      </c>
      <c r="D92" s="21" t="s">
        <v>235</v>
      </c>
      <c r="E92" s="30">
        <v>510.0</v>
      </c>
      <c r="F92" s="30">
        <v>575.0</v>
      </c>
      <c r="G92" s="30">
        <f t="shared" si="1"/>
        <v>542.5</v>
      </c>
      <c r="H92" s="30">
        <f t="shared" si="2"/>
        <v>65</v>
      </c>
      <c r="I92" s="31">
        <f t="shared" si="3"/>
        <v>0.1198156682</v>
      </c>
    </row>
    <row r="93" ht="22.5" customHeight="1">
      <c r="A93" s="35">
        <v>46059.0</v>
      </c>
      <c r="B93" s="33" t="s">
        <v>243</v>
      </c>
      <c r="C93" s="21" t="s">
        <v>244</v>
      </c>
      <c r="D93" s="21" t="s">
        <v>235</v>
      </c>
      <c r="E93" s="30">
        <v>498.0</v>
      </c>
      <c r="F93" s="30">
        <v>700.0</v>
      </c>
      <c r="G93" s="30">
        <f t="shared" si="1"/>
        <v>599</v>
      </c>
      <c r="H93" s="30">
        <f t="shared" si="2"/>
        <v>202</v>
      </c>
      <c r="I93" s="31">
        <f t="shared" si="3"/>
        <v>0.3372287145</v>
      </c>
    </row>
    <row r="94" ht="22.5" customHeight="1">
      <c r="A94" s="35">
        <v>46059.0</v>
      </c>
      <c r="B94" s="33" t="s">
        <v>243</v>
      </c>
      <c r="C94" s="21" t="s">
        <v>237</v>
      </c>
      <c r="D94" s="21" t="s">
        <v>235</v>
      </c>
      <c r="E94" s="30">
        <v>467.0</v>
      </c>
      <c r="F94" s="30">
        <v>600.0</v>
      </c>
      <c r="G94" s="30">
        <f t="shared" si="1"/>
        <v>533.5</v>
      </c>
      <c r="H94" s="30">
        <f t="shared" si="2"/>
        <v>133</v>
      </c>
      <c r="I94" s="31">
        <f t="shared" si="3"/>
        <v>0.2492970947</v>
      </c>
    </row>
    <row r="95" ht="22.5" customHeight="1">
      <c r="A95" s="35">
        <v>46059.0</v>
      </c>
      <c r="B95" s="33" t="s">
        <v>243</v>
      </c>
      <c r="C95" s="21" t="s">
        <v>238</v>
      </c>
      <c r="D95" s="21" t="s">
        <v>235</v>
      </c>
      <c r="E95" s="30">
        <v>457.0</v>
      </c>
      <c r="F95" s="30">
        <v>570.0</v>
      </c>
      <c r="G95" s="30">
        <f t="shared" si="1"/>
        <v>513.5</v>
      </c>
      <c r="H95" s="30">
        <f t="shared" si="2"/>
        <v>113</v>
      </c>
      <c r="I95" s="31">
        <f t="shared" si="3"/>
        <v>0.2200584226</v>
      </c>
    </row>
    <row r="96" ht="22.5" customHeight="1">
      <c r="A96" s="35">
        <v>46059.0</v>
      </c>
      <c r="B96" s="33" t="s">
        <v>243</v>
      </c>
      <c r="C96" s="21" t="s">
        <v>239</v>
      </c>
      <c r="D96" s="21" t="s">
        <v>235</v>
      </c>
      <c r="E96" s="30">
        <v>443.0</v>
      </c>
      <c r="F96" s="30">
        <v>585.0</v>
      </c>
      <c r="G96" s="30">
        <f t="shared" si="1"/>
        <v>514</v>
      </c>
      <c r="H96" s="30">
        <f t="shared" si="2"/>
        <v>142</v>
      </c>
      <c r="I96" s="31">
        <f t="shared" si="3"/>
        <v>0.2762645914</v>
      </c>
    </row>
    <row r="97" ht="22.5" customHeight="1">
      <c r="A97" s="35">
        <v>46059.0</v>
      </c>
      <c r="B97" s="33" t="s">
        <v>243</v>
      </c>
      <c r="C97" s="21" t="s">
        <v>240</v>
      </c>
      <c r="D97" s="21" t="s">
        <v>235</v>
      </c>
      <c r="E97" s="30">
        <v>410.0</v>
      </c>
      <c r="F97" s="30">
        <v>466.0</v>
      </c>
      <c r="G97" s="30">
        <f t="shared" si="1"/>
        <v>438</v>
      </c>
      <c r="H97" s="30">
        <f t="shared" si="2"/>
        <v>56</v>
      </c>
      <c r="I97" s="31">
        <f t="shared" si="3"/>
        <v>0.1278538813</v>
      </c>
    </row>
    <row r="98" ht="22.5" customHeight="1">
      <c r="A98" s="35">
        <v>46059.0</v>
      </c>
      <c r="B98" s="33" t="s">
        <v>243</v>
      </c>
      <c r="C98" s="21" t="s">
        <v>241</v>
      </c>
      <c r="D98" s="21" t="s">
        <v>235</v>
      </c>
      <c r="E98" s="30">
        <v>392.0</v>
      </c>
      <c r="F98" s="30">
        <v>495.0</v>
      </c>
      <c r="G98" s="30">
        <f t="shared" si="1"/>
        <v>443.5</v>
      </c>
      <c r="H98" s="30">
        <f t="shared" si="2"/>
        <v>103</v>
      </c>
      <c r="I98" s="31">
        <f t="shared" si="3"/>
        <v>0.2322435175</v>
      </c>
    </row>
    <row r="99" ht="22.5" customHeight="1">
      <c r="A99" s="35">
        <v>46059.0</v>
      </c>
      <c r="B99" s="33" t="s">
        <v>243</v>
      </c>
      <c r="C99" s="21" t="s">
        <v>242</v>
      </c>
      <c r="D99" s="21" t="s">
        <v>235</v>
      </c>
      <c r="E99" s="30">
        <v>366.0</v>
      </c>
      <c r="F99" s="30">
        <v>428.0</v>
      </c>
      <c r="G99" s="30">
        <f t="shared" si="1"/>
        <v>397</v>
      </c>
      <c r="H99" s="30">
        <f t="shared" si="2"/>
        <v>62</v>
      </c>
      <c r="I99" s="31">
        <f t="shared" si="3"/>
        <v>0.1561712846</v>
      </c>
    </row>
    <row r="100" ht="22.5" customHeight="1">
      <c r="A100" s="35">
        <v>46059.0</v>
      </c>
      <c r="B100" s="33" t="s">
        <v>243</v>
      </c>
      <c r="C100" s="21" t="s">
        <v>207</v>
      </c>
      <c r="D100" s="21" t="s">
        <v>235</v>
      </c>
      <c r="E100" s="30">
        <v>357.0</v>
      </c>
      <c r="F100" s="30">
        <v>418.0</v>
      </c>
      <c r="G100" s="30">
        <f t="shared" si="1"/>
        <v>387.5</v>
      </c>
      <c r="H100" s="30">
        <f t="shared" si="2"/>
        <v>61</v>
      </c>
      <c r="I100" s="31">
        <f t="shared" si="3"/>
        <v>0.1574193548</v>
      </c>
    </row>
    <row r="101" ht="22.5" customHeight="1">
      <c r="A101" s="35">
        <v>46059.0</v>
      </c>
      <c r="B101" s="33" t="s">
        <v>243</v>
      </c>
      <c r="C101" s="21" t="s">
        <v>208</v>
      </c>
      <c r="D101" s="21" t="s">
        <v>235</v>
      </c>
      <c r="E101" s="30">
        <v>315.0</v>
      </c>
      <c r="F101" s="30">
        <v>337.5</v>
      </c>
      <c r="G101" s="30">
        <f t="shared" si="1"/>
        <v>326.25</v>
      </c>
      <c r="H101" s="30">
        <f t="shared" si="2"/>
        <v>22.5</v>
      </c>
      <c r="I101" s="31">
        <f t="shared" si="3"/>
        <v>0.06896551724</v>
      </c>
    </row>
    <row r="102" ht="22.5" customHeight="1">
      <c r="A102" s="35">
        <v>46066.0</v>
      </c>
      <c r="B102" s="33" t="s">
        <v>159</v>
      </c>
      <c r="C102" s="21" t="s">
        <v>231</v>
      </c>
      <c r="D102" s="21"/>
      <c r="E102" s="30">
        <v>182.0</v>
      </c>
      <c r="F102" s="30">
        <v>190.0</v>
      </c>
      <c r="G102" s="30">
        <f t="shared" si="1"/>
        <v>186</v>
      </c>
      <c r="H102" s="30">
        <f t="shared" si="2"/>
        <v>8</v>
      </c>
      <c r="I102" s="31">
        <f t="shared" si="3"/>
        <v>0.04301075269</v>
      </c>
    </row>
    <row r="103" ht="22.5" customHeight="1">
      <c r="A103" s="35">
        <v>46066.0</v>
      </c>
      <c r="B103" s="33" t="s">
        <v>159</v>
      </c>
      <c r="C103" s="21" t="s">
        <v>216</v>
      </c>
      <c r="D103" s="21"/>
      <c r="E103" s="30">
        <v>135.0</v>
      </c>
      <c r="F103" s="30">
        <v>181.0</v>
      </c>
      <c r="G103" s="30">
        <f t="shared" si="1"/>
        <v>158</v>
      </c>
      <c r="H103" s="30">
        <f t="shared" si="2"/>
        <v>46</v>
      </c>
      <c r="I103" s="31">
        <f t="shared" si="3"/>
        <v>0.2911392405</v>
      </c>
    </row>
    <row r="104" ht="22.5" customHeight="1">
      <c r="A104" s="35">
        <v>46066.0</v>
      </c>
      <c r="B104" s="33" t="s">
        <v>162</v>
      </c>
      <c r="C104" s="21" t="s">
        <v>198</v>
      </c>
      <c r="D104" s="21"/>
      <c r="E104" s="30">
        <v>161.0</v>
      </c>
      <c r="F104" s="30">
        <v>179.0</v>
      </c>
      <c r="G104" s="30">
        <f t="shared" si="1"/>
        <v>170</v>
      </c>
      <c r="H104" s="30">
        <f t="shared" si="2"/>
        <v>18</v>
      </c>
      <c r="I104" s="31">
        <f t="shared" si="3"/>
        <v>0.1058823529</v>
      </c>
    </row>
    <row r="105" ht="22.5" customHeight="1">
      <c r="A105" s="35">
        <v>46066.0</v>
      </c>
      <c r="B105" s="33" t="s">
        <v>162</v>
      </c>
      <c r="C105" s="21" t="s">
        <v>199</v>
      </c>
      <c r="D105" s="21"/>
      <c r="E105" s="30">
        <v>150.0</v>
      </c>
      <c r="F105" s="30">
        <v>155.0</v>
      </c>
      <c r="G105" s="30">
        <f t="shared" si="1"/>
        <v>152.5</v>
      </c>
      <c r="H105" s="30">
        <f t="shared" si="2"/>
        <v>5</v>
      </c>
      <c r="I105" s="31">
        <f t="shared" si="3"/>
        <v>0.03278688525</v>
      </c>
    </row>
    <row r="106" ht="22.5" customHeight="1">
      <c r="A106" s="35">
        <v>46066.0</v>
      </c>
      <c r="B106" s="33" t="s">
        <v>162</v>
      </c>
      <c r="C106" s="21" t="s">
        <v>232</v>
      </c>
      <c r="D106" s="21"/>
      <c r="E106" s="30">
        <v>86.0</v>
      </c>
      <c r="F106" s="30">
        <v>143.0</v>
      </c>
      <c r="G106" s="30">
        <f t="shared" si="1"/>
        <v>114.5</v>
      </c>
      <c r="H106" s="30">
        <f t="shared" si="2"/>
        <v>57</v>
      </c>
      <c r="I106" s="31">
        <f t="shared" si="3"/>
        <v>0.4978165939</v>
      </c>
    </row>
    <row r="107" ht="22.5" customHeight="1">
      <c r="A107" s="35">
        <v>46066.0</v>
      </c>
      <c r="B107" s="33" t="s">
        <v>233</v>
      </c>
      <c r="C107" s="21" t="s">
        <v>234</v>
      </c>
      <c r="D107" s="21" t="s">
        <v>235</v>
      </c>
      <c r="E107" s="30">
        <v>562.0</v>
      </c>
      <c r="F107" s="30">
        <v>725.0</v>
      </c>
      <c r="G107" s="30">
        <f t="shared" si="1"/>
        <v>643.5</v>
      </c>
      <c r="H107" s="30">
        <f t="shared" si="2"/>
        <v>163</v>
      </c>
      <c r="I107" s="31">
        <f t="shared" si="3"/>
        <v>0.2533022533</v>
      </c>
    </row>
    <row r="108" ht="22.5" customHeight="1">
      <c r="A108" s="35">
        <v>46066.0</v>
      </c>
      <c r="B108" s="33" t="s">
        <v>233</v>
      </c>
      <c r="C108" s="21" t="s">
        <v>236</v>
      </c>
      <c r="D108" s="21" t="s">
        <v>235</v>
      </c>
      <c r="E108" s="30">
        <v>576.0</v>
      </c>
      <c r="F108" s="30">
        <v>660.0</v>
      </c>
      <c r="G108" s="30">
        <f t="shared" si="1"/>
        <v>618</v>
      </c>
      <c r="H108" s="30">
        <f t="shared" si="2"/>
        <v>84</v>
      </c>
      <c r="I108" s="31">
        <f t="shared" si="3"/>
        <v>0.1359223301</v>
      </c>
    </row>
    <row r="109" ht="22.5" customHeight="1">
      <c r="A109" s="35">
        <v>46066.0</v>
      </c>
      <c r="B109" s="33" t="s">
        <v>233</v>
      </c>
      <c r="C109" s="21" t="s">
        <v>237</v>
      </c>
      <c r="D109" s="21" t="s">
        <v>235</v>
      </c>
      <c r="E109" s="30">
        <v>562.0</v>
      </c>
      <c r="F109" s="30">
        <v>700.0</v>
      </c>
      <c r="G109" s="30">
        <f t="shared" si="1"/>
        <v>631</v>
      </c>
      <c r="H109" s="30">
        <f t="shared" si="2"/>
        <v>138</v>
      </c>
      <c r="I109" s="31">
        <f t="shared" si="3"/>
        <v>0.2187004754</v>
      </c>
    </row>
    <row r="110" ht="22.5" customHeight="1">
      <c r="A110" s="35">
        <v>46066.0</v>
      </c>
      <c r="B110" s="33" t="s">
        <v>233</v>
      </c>
      <c r="C110" s="21" t="s">
        <v>238</v>
      </c>
      <c r="D110" s="21" t="s">
        <v>235</v>
      </c>
      <c r="E110" s="30">
        <v>526.0</v>
      </c>
      <c r="F110" s="30">
        <v>620.0</v>
      </c>
      <c r="G110" s="30">
        <f t="shared" si="1"/>
        <v>573</v>
      </c>
      <c r="H110" s="30">
        <f t="shared" si="2"/>
        <v>94</v>
      </c>
      <c r="I110" s="31">
        <f t="shared" si="3"/>
        <v>0.1640488656</v>
      </c>
    </row>
    <row r="111" ht="22.5" customHeight="1">
      <c r="A111" s="35">
        <v>46066.0</v>
      </c>
      <c r="B111" s="33" t="s">
        <v>233</v>
      </c>
      <c r="C111" s="21" t="s">
        <v>239</v>
      </c>
      <c r="D111" s="21" t="s">
        <v>235</v>
      </c>
      <c r="E111" s="30">
        <v>490.0</v>
      </c>
      <c r="F111" s="30">
        <v>600.0</v>
      </c>
      <c r="G111" s="30">
        <f t="shared" si="1"/>
        <v>545</v>
      </c>
      <c r="H111" s="30">
        <f t="shared" si="2"/>
        <v>110</v>
      </c>
      <c r="I111" s="31">
        <f t="shared" si="3"/>
        <v>0.2018348624</v>
      </c>
    </row>
    <row r="112" ht="22.5" customHeight="1">
      <c r="A112" s="35">
        <v>46066.0</v>
      </c>
      <c r="B112" s="33" t="s">
        <v>233</v>
      </c>
      <c r="C112" s="21" t="s">
        <v>240</v>
      </c>
      <c r="D112" s="21" t="s">
        <v>235</v>
      </c>
      <c r="E112" s="30">
        <v>475.0</v>
      </c>
      <c r="F112" s="30">
        <v>545.0</v>
      </c>
      <c r="G112" s="30">
        <f t="shared" si="1"/>
        <v>510</v>
      </c>
      <c r="H112" s="30">
        <f t="shared" si="2"/>
        <v>70</v>
      </c>
      <c r="I112" s="31">
        <f t="shared" si="3"/>
        <v>0.137254902</v>
      </c>
    </row>
    <row r="113" ht="22.5" customHeight="1">
      <c r="A113" s="35">
        <v>46066.0</v>
      </c>
      <c r="B113" s="33" t="s">
        <v>233</v>
      </c>
      <c r="C113" s="21" t="s">
        <v>241</v>
      </c>
      <c r="D113" s="21" t="s">
        <v>235</v>
      </c>
      <c r="E113" s="30">
        <v>449.0</v>
      </c>
      <c r="F113" s="30">
        <v>550.0</v>
      </c>
      <c r="G113" s="30">
        <f t="shared" si="1"/>
        <v>499.5</v>
      </c>
      <c r="H113" s="30">
        <f t="shared" si="2"/>
        <v>101</v>
      </c>
      <c r="I113" s="31">
        <f t="shared" si="3"/>
        <v>0.2022022022</v>
      </c>
    </row>
    <row r="114" ht="22.5" customHeight="1">
      <c r="A114" s="35">
        <v>46066.0</v>
      </c>
      <c r="B114" s="33" t="s">
        <v>233</v>
      </c>
      <c r="C114" s="21" t="s">
        <v>242</v>
      </c>
      <c r="D114" s="21" t="s">
        <v>235</v>
      </c>
      <c r="E114" s="30">
        <v>425.0</v>
      </c>
      <c r="F114" s="30">
        <v>490.0</v>
      </c>
      <c r="G114" s="30">
        <f t="shared" si="1"/>
        <v>457.5</v>
      </c>
      <c r="H114" s="30">
        <f t="shared" si="2"/>
        <v>65</v>
      </c>
      <c r="I114" s="31">
        <f t="shared" si="3"/>
        <v>0.1420765027</v>
      </c>
    </row>
    <row r="115" ht="22.5" customHeight="1">
      <c r="A115" s="35">
        <v>46066.0</v>
      </c>
      <c r="B115" s="33" t="s">
        <v>233</v>
      </c>
      <c r="C115" s="21" t="s">
        <v>207</v>
      </c>
      <c r="D115" s="21" t="s">
        <v>235</v>
      </c>
      <c r="E115" s="30">
        <v>398.0</v>
      </c>
      <c r="F115" s="30">
        <v>445.0</v>
      </c>
      <c r="G115" s="30">
        <f t="shared" si="1"/>
        <v>421.5</v>
      </c>
      <c r="H115" s="30">
        <f t="shared" si="2"/>
        <v>47</v>
      </c>
      <c r="I115" s="31">
        <f t="shared" si="3"/>
        <v>0.1115065243</v>
      </c>
    </row>
    <row r="116" ht="22.5" customHeight="1">
      <c r="A116" s="35">
        <v>46066.0</v>
      </c>
      <c r="B116" s="33" t="s">
        <v>233</v>
      </c>
      <c r="C116" s="21" t="s">
        <v>208</v>
      </c>
      <c r="D116" s="21" t="s">
        <v>235</v>
      </c>
      <c r="E116" s="30">
        <v>359.0</v>
      </c>
      <c r="F116" s="30">
        <v>400.0</v>
      </c>
      <c r="G116" s="30">
        <f t="shared" si="1"/>
        <v>379.5</v>
      </c>
      <c r="H116" s="30">
        <f t="shared" si="2"/>
        <v>41</v>
      </c>
      <c r="I116" s="31">
        <f t="shared" si="3"/>
        <v>0.1080368906</v>
      </c>
    </row>
    <row r="117" ht="22.5" customHeight="1">
      <c r="A117" s="35">
        <v>46066.0</v>
      </c>
      <c r="B117" s="33" t="s">
        <v>243</v>
      </c>
      <c r="C117" s="21" t="s">
        <v>234</v>
      </c>
      <c r="D117" s="21" t="s">
        <v>235</v>
      </c>
      <c r="E117" s="30">
        <v>542.0</v>
      </c>
      <c r="F117" s="30">
        <v>610.0</v>
      </c>
      <c r="G117" s="30">
        <f t="shared" si="1"/>
        <v>576</v>
      </c>
      <c r="H117" s="30">
        <f t="shared" si="2"/>
        <v>68</v>
      </c>
      <c r="I117" s="31">
        <f t="shared" si="3"/>
        <v>0.1180555556</v>
      </c>
    </row>
    <row r="118" ht="22.5" customHeight="1">
      <c r="A118" s="35">
        <v>46066.0</v>
      </c>
      <c r="B118" s="33" t="s">
        <v>243</v>
      </c>
      <c r="C118" s="21" t="s">
        <v>244</v>
      </c>
      <c r="D118" s="21" t="s">
        <v>235</v>
      </c>
      <c r="E118" s="30">
        <v>492.0</v>
      </c>
      <c r="F118" s="30">
        <v>610.0</v>
      </c>
      <c r="G118" s="30">
        <f t="shared" si="1"/>
        <v>551</v>
      </c>
      <c r="H118" s="30">
        <f t="shared" si="2"/>
        <v>118</v>
      </c>
      <c r="I118" s="31">
        <f t="shared" si="3"/>
        <v>0.2141560799</v>
      </c>
    </row>
    <row r="119" ht="22.5" customHeight="1">
      <c r="A119" s="35">
        <v>46066.0</v>
      </c>
      <c r="B119" s="33" t="s">
        <v>243</v>
      </c>
      <c r="C119" s="21" t="s">
        <v>237</v>
      </c>
      <c r="D119" s="21" t="s">
        <v>235</v>
      </c>
      <c r="E119" s="30">
        <v>472.0</v>
      </c>
      <c r="F119" s="30">
        <v>560.0</v>
      </c>
      <c r="G119" s="30">
        <f t="shared" si="1"/>
        <v>516</v>
      </c>
      <c r="H119" s="30">
        <f t="shared" si="2"/>
        <v>88</v>
      </c>
      <c r="I119" s="31">
        <f t="shared" si="3"/>
        <v>0.1705426357</v>
      </c>
    </row>
    <row r="120" ht="22.5" customHeight="1">
      <c r="A120" s="35">
        <v>46066.0</v>
      </c>
      <c r="B120" s="33" t="s">
        <v>243</v>
      </c>
      <c r="C120" s="21" t="s">
        <v>238</v>
      </c>
      <c r="D120" s="21" t="s">
        <v>235</v>
      </c>
      <c r="E120" s="30">
        <v>451.0</v>
      </c>
      <c r="F120" s="30">
        <v>560.0</v>
      </c>
      <c r="G120" s="30">
        <f t="shared" si="1"/>
        <v>505.5</v>
      </c>
      <c r="H120" s="30">
        <f t="shared" si="2"/>
        <v>109</v>
      </c>
      <c r="I120" s="31">
        <f t="shared" si="3"/>
        <v>0.215628091</v>
      </c>
    </row>
    <row r="121" ht="22.5" customHeight="1">
      <c r="A121" s="35">
        <v>46066.0</v>
      </c>
      <c r="B121" s="33" t="s">
        <v>243</v>
      </c>
      <c r="C121" s="21" t="s">
        <v>239</v>
      </c>
      <c r="D121" s="21" t="s">
        <v>235</v>
      </c>
      <c r="E121" s="30">
        <v>430.0</v>
      </c>
      <c r="F121" s="30">
        <v>535.0</v>
      </c>
      <c r="G121" s="30">
        <f t="shared" si="1"/>
        <v>482.5</v>
      </c>
      <c r="H121" s="30">
        <f t="shared" si="2"/>
        <v>105</v>
      </c>
      <c r="I121" s="31">
        <f t="shared" si="3"/>
        <v>0.2176165803</v>
      </c>
    </row>
    <row r="122" ht="22.5" customHeight="1">
      <c r="A122" s="35">
        <v>46066.0</v>
      </c>
      <c r="B122" s="33" t="s">
        <v>243</v>
      </c>
      <c r="C122" s="21" t="s">
        <v>240</v>
      </c>
      <c r="D122" s="21" t="s">
        <v>235</v>
      </c>
      <c r="E122" s="30">
        <v>417.0</v>
      </c>
      <c r="F122" s="30">
        <v>525.0</v>
      </c>
      <c r="G122" s="30">
        <f t="shared" si="1"/>
        <v>471</v>
      </c>
      <c r="H122" s="30">
        <f t="shared" si="2"/>
        <v>108</v>
      </c>
      <c r="I122" s="31">
        <f t="shared" si="3"/>
        <v>0.2292993631</v>
      </c>
    </row>
    <row r="123" ht="22.5" customHeight="1">
      <c r="A123" s="35">
        <v>46066.0</v>
      </c>
      <c r="B123" s="33" t="s">
        <v>243</v>
      </c>
      <c r="C123" s="21" t="s">
        <v>241</v>
      </c>
      <c r="D123" s="21" t="s">
        <v>235</v>
      </c>
      <c r="E123" s="30">
        <v>400.0</v>
      </c>
      <c r="F123" s="30">
        <v>485.0</v>
      </c>
      <c r="G123" s="30">
        <f t="shared" si="1"/>
        <v>442.5</v>
      </c>
      <c r="H123" s="30">
        <f t="shared" si="2"/>
        <v>85</v>
      </c>
      <c r="I123" s="31">
        <f t="shared" si="3"/>
        <v>0.1920903955</v>
      </c>
    </row>
    <row r="124" ht="22.5" customHeight="1">
      <c r="A124" s="35">
        <v>46066.0</v>
      </c>
      <c r="B124" s="33" t="s">
        <v>243</v>
      </c>
      <c r="C124" s="21" t="s">
        <v>242</v>
      </c>
      <c r="D124" s="21" t="s">
        <v>235</v>
      </c>
      <c r="E124" s="30">
        <v>366.0</v>
      </c>
      <c r="F124" s="30">
        <v>500.0</v>
      </c>
      <c r="G124" s="30">
        <f t="shared" si="1"/>
        <v>433</v>
      </c>
      <c r="H124" s="30">
        <f t="shared" si="2"/>
        <v>134</v>
      </c>
      <c r="I124" s="31">
        <f t="shared" si="3"/>
        <v>0.3094688222</v>
      </c>
    </row>
    <row r="125" ht="22.5" customHeight="1">
      <c r="A125" s="35">
        <v>46066.0</v>
      </c>
      <c r="B125" s="33" t="s">
        <v>243</v>
      </c>
      <c r="C125" s="21" t="s">
        <v>207</v>
      </c>
      <c r="D125" s="21" t="s">
        <v>235</v>
      </c>
      <c r="E125" s="30">
        <v>349.0</v>
      </c>
      <c r="F125" s="30">
        <v>485.0</v>
      </c>
      <c r="G125" s="30">
        <f t="shared" si="1"/>
        <v>417</v>
      </c>
      <c r="H125" s="30">
        <f t="shared" si="2"/>
        <v>136</v>
      </c>
      <c r="I125" s="31">
        <f t="shared" si="3"/>
        <v>0.3261390887</v>
      </c>
    </row>
    <row r="126" ht="22.5" customHeight="1">
      <c r="A126" s="35">
        <v>46066.0</v>
      </c>
      <c r="B126" s="33" t="s">
        <v>243</v>
      </c>
      <c r="C126" s="21" t="s">
        <v>208</v>
      </c>
      <c r="D126" s="21" t="s">
        <v>235</v>
      </c>
      <c r="E126" s="30">
        <v>323.0</v>
      </c>
      <c r="F126" s="30">
        <v>358.0</v>
      </c>
      <c r="G126" s="30">
        <f t="shared" si="1"/>
        <v>340.5</v>
      </c>
      <c r="H126" s="30">
        <f t="shared" si="2"/>
        <v>35</v>
      </c>
      <c r="I126" s="31">
        <f t="shared" si="3"/>
        <v>0.1027900147</v>
      </c>
    </row>
    <row r="127" ht="22.5" customHeight="1">
      <c r="A127" s="35">
        <v>46073.0</v>
      </c>
      <c r="B127" s="33" t="s">
        <v>139</v>
      </c>
      <c r="C127" s="21"/>
      <c r="D127" s="21" t="s">
        <v>231</v>
      </c>
      <c r="E127" s="30">
        <v>185.0</v>
      </c>
      <c r="F127" s="30">
        <v>212.0</v>
      </c>
      <c r="G127" s="30">
        <f t="shared" si="1"/>
        <v>198.5</v>
      </c>
      <c r="H127" s="30">
        <f t="shared" si="2"/>
        <v>27</v>
      </c>
      <c r="I127" s="31">
        <f t="shared" si="3"/>
        <v>0.1360201511</v>
      </c>
    </row>
    <row r="128" ht="22.5" customHeight="1">
      <c r="A128" s="35">
        <v>46073.0</v>
      </c>
      <c r="B128" s="33" t="s">
        <v>139</v>
      </c>
      <c r="C128" s="21"/>
      <c r="D128" s="21" t="s">
        <v>216</v>
      </c>
      <c r="E128" s="30">
        <v>141.0</v>
      </c>
      <c r="F128" s="30">
        <v>184.0</v>
      </c>
      <c r="G128" s="30">
        <f t="shared" si="1"/>
        <v>162.5</v>
      </c>
      <c r="H128" s="30">
        <f t="shared" si="2"/>
        <v>43</v>
      </c>
      <c r="I128" s="31">
        <f t="shared" si="3"/>
        <v>0.2646153846</v>
      </c>
    </row>
    <row r="129" ht="22.5" customHeight="1">
      <c r="A129" s="35">
        <v>46073.0</v>
      </c>
      <c r="B129" s="33" t="s">
        <v>136</v>
      </c>
      <c r="C129" s="21"/>
      <c r="D129" s="21" t="s">
        <v>198</v>
      </c>
      <c r="E129" s="30">
        <v>162.0</v>
      </c>
      <c r="F129" s="30">
        <v>176.0</v>
      </c>
      <c r="G129" s="30">
        <f t="shared" si="1"/>
        <v>169</v>
      </c>
      <c r="H129" s="30">
        <f t="shared" si="2"/>
        <v>14</v>
      </c>
      <c r="I129" s="31">
        <f t="shared" si="3"/>
        <v>0.08284023669</v>
      </c>
    </row>
    <row r="130" ht="22.5" customHeight="1">
      <c r="A130" s="35">
        <v>46073.0</v>
      </c>
      <c r="B130" s="33" t="s">
        <v>136</v>
      </c>
      <c r="C130" s="21"/>
      <c r="D130" s="21" t="s">
        <v>199</v>
      </c>
      <c r="E130" s="30">
        <v>150.0</v>
      </c>
      <c r="F130" s="30">
        <v>160.0</v>
      </c>
      <c r="G130" s="30">
        <f t="shared" si="1"/>
        <v>155</v>
      </c>
      <c r="H130" s="30">
        <f t="shared" si="2"/>
        <v>10</v>
      </c>
      <c r="I130" s="31">
        <f t="shared" si="3"/>
        <v>0.06451612903</v>
      </c>
    </row>
    <row r="131" ht="22.5" customHeight="1">
      <c r="A131" s="35">
        <v>46073.0</v>
      </c>
      <c r="B131" s="33" t="s">
        <v>136</v>
      </c>
      <c r="C131" s="21"/>
      <c r="D131" s="21" t="s">
        <v>232</v>
      </c>
      <c r="E131" s="30">
        <v>102.0</v>
      </c>
      <c r="F131" s="30">
        <v>145.0</v>
      </c>
      <c r="G131" s="30">
        <f t="shared" si="1"/>
        <v>123.5</v>
      </c>
      <c r="H131" s="30">
        <f t="shared" si="2"/>
        <v>43</v>
      </c>
      <c r="I131" s="31">
        <f t="shared" si="3"/>
        <v>0.3481781377</v>
      </c>
    </row>
    <row r="132" ht="22.5" customHeight="1">
      <c r="A132" s="35">
        <v>46073.0</v>
      </c>
      <c r="B132" s="33" t="s">
        <v>133</v>
      </c>
      <c r="C132" s="21"/>
      <c r="D132" s="21" t="s">
        <v>149</v>
      </c>
      <c r="E132" s="30">
        <v>2300.0</v>
      </c>
      <c r="F132" s="30">
        <v>3200.0</v>
      </c>
      <c r="G132" s="30">
        <f t="shared" si="1"/>
        <v>2750</v>
      </c>
      <c r="H132" s="30">
        <f t="shared" si="2"/>
        <v>900</v>
      </c>
      <c r="I132" s="31">
        <f t="shared" si="3"/>
        <v>0.3272727273</v>
      </c>
    </row>
    <row r="133" ht="22.5" customHeight="1">
      <c r="A133" s="35">
        <v>46073.0</v>
      </c>
      <c r="B133" s="33" t="s">
        <v>133</v>
      </c>
      <c r="C133" s="21"/>
      <c r="D133" s="21" t="s">
        <v>245</v>
      </c>
      <c r="E133" s="30">
        <v>2000.0</v>
      </c>
      <c r="F133" s="30">
        <v>4000.0</v>
      </c>
      <c r="G133" s="30">
        <f t="shared" si="1"/>
        <v>3000</v>
      </c>
      <c r="H133" s="30">
        <f t="shared" si="2"/>
        <v>2000</v>
      </c>
      <c r="I133" s="31">
        <f t="shared" si="3"/>
        <v>0.6666666667</v>
      </c>
    </row>
    <row r="134" ht="22.5" customHeight="1">
      <c r="A134" s="35">
        <v>46073.0</v>
      </c>
      <c r="B134" s="33" t="s">
        <v>120</v>
      </c>
      <c r="C134" s="21" t="s">
        <v>246</v>
      </c>
      <c r="D134" s="21" t="s">
        <v>222</v>
      </c>
      <c r="E134" s="30">
        <v>632.0</v>
      </c>
      <c r="F134" s="30">
        <v>775.0</v>
      </c>
      <c r="G134" s="30">
        <f t="shared" si="1"/>
        <v>703.5</v>
      </c>
      <c r="H134" s="30">
        <f t="shared" si="2"/>
        <v>143</v>
      </c>
      <c r="I134" s="31">
        <f t="shared" si="3"/>
        <v>0.2032693674</v>
      </c>
    </row>
    <row r="135" ht="22.5" customHeight="1">
      <c r="A135" s="35">
        <v>46073.0</v>
      </c>
      <c r="B135" s="33" t="s">
        <v>120</v>
      </c>
      <c r="C135" s="21" t="s">
        <v>247</v>
      </c>
      <c r="D135" s="21" t="s">
        <v>222</v>
      </c>
      <c r="E135" s="30">
        <v>602.0</v>
      </c>
      <c r="F135" s="30">
        <v>730.0</v>
      </c>
      <c r="G135" s="30">
        <f t="shared" si="1"/>
        <v>666</v>
      </c>
      <c r="H135" s="30">
        <f t="shared" si="2"/>
        <v>128</v>
      </c>
      <c r="I135" s="31">
        <f t="shared" si="3"/>
        <v>0.1921921922</v>
      </c>
    </row>
    <row r="136" ht="22.5" customHeight="1">
      <c r="A136" s="35">
        <v>46073.0</v>
      </c>
      <c r="B136" s="33" t="s">
        <v>120</v>
      </c>
      <c r="C136" s="21" t="s">
        <v>248</v>
      </c>
      <c r="D136" s="21" t="s">
        <v>222</v>
      </c>
      <c r="E136" s="30">
        <v>596.0</v>
      </c>
      <c r="F136" s="30">
        <v>670.0</v>
      </c>
      <c r="G136" s="30">
        <f t="shared" si="1"/>
        <v>633</v>
      </c>
      <c r="H136" s="30">
        <f t="shared" si="2"/>
        <v>74</v>
      </c>
      <c r="I136" s="31">
        <f t="shared" si="3"/>
        <v>0.1169036335</v>
      </c>
    </row>
    <row r="137" ht="22.5" customHeight="1">
      <c r="A137" s="35">
        <v>46073.0</v>
      </c>
      <c r="B137" s="33" t="s">
        <v>120</v>
      </c>
      <c r="C137" s="21" t="s">
        <v>249</v>
      </c>
      <c r="D137" s="21" t="s">
        <v>222</v>
      </c>
      <c r="E137" s="30">
        <v>555.0</v>
      </c>
      <c r="F137" s="30">
        <v>690.0</v>
      </c>
      <c r="G137" s="30">
        <f t="shared" si="1"/>
        <v>622.5</v>
      </c>
      <c r="H137" s="30">
        <f t="shared" si="2"/>
        <v>135</v>
      </c>
      <c r="I137" s="31">
        <f t="shared" si="3"/>
        <v>0.2168674699</v>
      </c>
    </row>
    <row r="138" ht="22.5" customHeight="1">
      <c r="A138" s="35">
        <v>46073.0</v>
      </c>
      <c r="B138" s="33" t="s">
        <v>120</v>
      </c>
      <c r="C138" s="21" t="s">
        <v>250</v>
      </c>
      <c r="D138" s="21" t="s">
        <v>222</v>
      </c>
      <c r="E138" s="30">
        <v>521.0</v>
      </c>
      <c r="F138" s="30">
        <v>630.0</v>
      </c>
      <c r="G138" s="30">
        <f t="shared" si="1"/>
        <v>575.5</v>
      </c>
      <c r="H138" s="30">
        <f t="shared" si="2"/>
        <v>109</v>
      </c>
      <c r="I138" s="31">
        <f t="shared" si="3"/>
        <v>0.1894005213</v>
      </c>
    </row>
    <row r="139" ht="22.5" customHeight="1">
      <c r="A139" s="35">
        <v>46073.0</v>
      </c>
      <c r="B139" s="33" t="s">
        <v>120</v>
      </c>
      <c r="C139" s="21" t="s">
        <v>251</v>
      </c>
      <c r="D139" s="21" t="s">
        <v>222</v>
      </c>
      <c r="E139" s="30">
        <v>490.0</v>
      </c>
      <c r="F139" s="30">
        <v>575.0</v>
      </c>
      <c r="G139" s="30">
        <f t="shared" si="1"/>
        <v>532.5</v>
      </c>
      <c r="H139" s="30">
        <f t="shared" si="2"/>
        <v>85</v>
      </c>
      <c r="I139" s="31">
        <f t="shared" si="3"/>
        <v>0.1596244131</v>
      </c>
    </row>
    <row r="140" ht="22.5" customHeight="1">
      <c r="A140" s="35">
        <v>46073.0</v>
      </c>
      <c r="B140" s="33" t="s">
        <v>120</v>
      </c>
      <c r="C140" s="21" t="s">
        <v>252</v>
      </c>
      <c r="D140" s="21" t="s">
        <v>222</v>
      </c>
      <c r="E140" s="30">
        <v>481.0</v>
      </c>
      <c r="F140" s="30">
        <v>570.0</v>
      </c>
      <c r="G140" s="30">
        <f t="shared" si="1"/>
        <v>525.5</v>
      </c>
      <c r="H140" s="30">
        <f t="shared" si="2"/>
        <v>89</v>
      </c>
      <c r="I140" s="31">
        <f t="shared" si="3"/>
        <v>0.1693625119</v>
      </c>
    </row>
    <row r="141" ht="22.5" customHeight="1">
      <c r="A141" s="35">
        <v>46073.0</v>
      </c>
      <c r="B141" s="33" t="s">
        <v>120</v>
      </c>
      <c r="C141" s="21" t="s">
        <v>253</v>
      </c>
      <c r="D141" s="21" t="s">
        <v>222</v>
      </c>
      <c r="E141" s="30">
        <v>463.0</v>
      </c>
      <c r="F141" s="30">
        <v>540.0</v>
      </c>
      <c r="G141" s="30">
        <f t="shared" si="1"/>
        <v>501.5</v>
      </c>
      <c r="H141" s="30">
        <f t="shared" si="2"/>
        <v>77</v>
      </c>
      <c r="I141" s="31">
        <f t="shared" si="3"/>
        <v>0.1535393819</v>
      </c>
    </row>
    <row r="142" ht="22.5" customHeight="1">
      <c r="A142" s="35">
        <v>46073.0</v>
      </c>
      <c r="B142" s="33" t="s">
        <v>120</v>
      </c>
      <c r="C142" s="21" t="s">
        <v>227</v>
      </c>
      <c r="D142" s="21" t="s">
        <v>222</v>
      </c>
      <c r="E142" s="30">
        <v>412.0</v>
      </c>
      <c r="F142" s="30">
        <v>490.0</v>
      </c>
      <c r="G142" s="30">
        <f t="shared" si="1"/>
        <v>451</v>
      </c>
      <c r="H142" s="30">
        <f t="shared" si="2"/>
        <v>78</v>
      </c>
      <c r="I142" s="31">
        <f t="shared" si="3"/>
        <v>0.1729490022</v>
      </c>
    </row>
    <row r="143" ht="22.5" customHeight="1">
      <c r="A143" s="35">
        <v>46073.0</v>
      </c>
      <c r="B143" s="33" t="s">
        <v>120</v>
      </c>
      <c r="C143" s="21" t="s">
        <v>228</v>
      </c>
      <c r="D143" s="21" t="s">
        <v>222</v>
      </c>
      <c r="E143" s="30">
        <v>373.0</v>
      </c>
      <c r="F143" s="30">
        <v>435.0</v>
      </c>
      <c r="G143" s="30">
        <f t="shared" si="1"/>
        <v>404</v>
      </c>
      <c r="H143" s="30">
        <f t="shared" si="2"/>
        <v>62</v>
      </c>
      <c r="I143" s="31">
        <f t="shared" si="3"/>
        <v>0.1534653465</v>
      </c>
    </row>
    <row r="144" ht="22.5" customHeight="1">
      <c r="A144" s="35">
        <v>46073.0</v>
      </c>
      <c r="B144" s="33" t="s">
        <v>129</v>
      </c>
      <c r="C144" s="21" t="s">
        <v>246</v>
      </c>
      <c r="D144" s="21" t="s">
        <v>222</v>
      </c>
      <c r="E144" s="30">
        <v>569.0</v>
      </c>
      <c r="F144" s="30">
        <v>700.0</v>
      </c>
      <c r="G144" s="30">
        <f t="shared" si="1"/>
        <v>634.5</v>
      </c>
      <c r="H144" s="30">
        <f t="shared" si="2"/>
        <v>131</v>
      </c>
      <c r="I144" s="31">
        <f t="shared" si="3"/>
        <v>0.2064617809</v>
      </c>
    </row>
    <row r="145" ht="22.5" customHeight="1">
      <c r="A145" s="35">
        <v>46073.0</v>
      </c>
      <c r="B145" s="33" t="s">
        <v>129</v>
      </c>
      <c r="C145" s="21" t="s">
        <v>254</v>
      </c>
      <c r="D145" s="21" t="s">
        <v>222</v>
      </c>
      <c r="E145" s="30">
        <v>520.0</v>
      </c>
      <c r="F145" s="30">
        <v>605.0</v>
      </c>
      <c r="G145" s="30">
        <f t="shared" si="1"/>
        <v>562.5</v>
      </c>
      <c r="H145" s="30">
        <f t="shared" si="2"/>
        <v>85</v>
      </c>
      <c r="I145" s="31">
        <f t="shared" si="3"/>
        <v>0.1511111111</v>
      </c>
    </row>
    <row r="146" ht="22.5" customHeight="1">
      <c r="A146" s="35">
        <v>46073.0</v>
      </c>
      <c r="B146" s="33" t="s">
        <v>129</v>
      </c>
      <c r="C146" s="21" t="s">
        <v>248</v>
      </c>
      <c r="D146" s="21" t="s">
        <v>222</v>
      </c>
      <c r="E146" s="30">
        <v>505.0</v>
      </c>
      <c r="F146" s="30">
        <v>650.0</v>
      </c>
      <c r="G146" s="30">
        <f t="shared" si="1"/>
        <v>577.5</v>
      </c>
      <c r="H146" s="30">
        <f t="shared" si="2"/>
        <v>145</v>
      </c>
      <c r="I146" s="31">
        <f t="shared" si="3"/>
        <v>0.2510822511</v>
      </c>
    </row>
    <row r="147" ht="22.5" customHeight="1">
      <c r="A147" s="35">
        <v>46073.0</v>
      </c>
      <c r="B147" s="33" t="s">
        <v>129</v>
      </c>
      <c r="C147" s="21" t="s">
        <v>249</v>
      </c>
      <c r="D147" s="21" t="s">
        <v>222</v>
      </c>
      <c r="E147" s="30">
        <v>493.0</v>
      </c>
      <c r="F147" s="30">
        <v>625.0</v>
      </c>
      <c r="G147" s="30">
        <f t="shared" si="1"/>
        <v>559</v>
      </c>
      <c r="H147" s="30">
        <f t="shared" si="2"/>
        <v>132</v>
      </c>
      <c r="I147" s="31">
        <f t="shared" si="3"/>
        <v>0.2361359571</v>
      </c>
    </row>
    <row r="148" ht="22.5" customHeight="1">
      <c r="A148" s="35">
        <v>46073.0</v>
      </c>
      <c r="B148" s="33" t="s">
        <v>129</v>
      </c>
      <c r="C148" s="21" t="s">
        <v>250</v>
      </c>
      <c r="D148" s="21" t="s">
        <v>222</v>
      </c>
      <c r="E148" s="30">
        <v>464.0</v>
      </c>
      <c r="F148" s="30">
        <v>570.0</v>
      </c>
      <c r="G148" s="30">
        <f t="shared" si="1"/>
        <v>517</v>
      </c>
      <c r="H148" s="30">
        <f t="shared" si="2"/>
        <v>106</v>
      </c>
      <c r="I148" s="31">
        <f t="shared" si="3"/>
        <v>0.2050290135</v>
      </c>
    </row>
    <row r="149" ht="22.5" customHeight="1">
      <c r="A149" s="35">
        <v>46073.0</v>
      </c>
      <c r="B149" s="33" t="s">
        <v>129</v>
      </c>
      <c r="C149" s="21" t="s">
        <v>251</v>
      </c>
      <c r="D149" s="21" t="s">
        <v>222</v>
      </c>
      <c r="E149" s="30">
        <v>425.0</v>
      </c>
      <c r="F149" s="30">
        <v>530.0</v>
      </c>
      <c r="G149" s="30">
        <f t="shared" si="1"/>
        <v>477.5</v>
      </c>
      <c r="H149" s="30">
        <f t="shared" si="2"/>
        <v>105</v>
      </c>
      <c r="I149" s="31">
        <f t="shared" si="3"/>
        <v>0.219895288</v>
      </c>
    </row>
    <row r="150" ht="22.5" customHeight="1">
      <c r="A150" s="35">
        <v>46073.0</v>
      </c>
      <c r="B150" s="33" t="s">
        <v>129</v>
      </c>
      <c r="C150" s="21" t="s">
        <v>252</v>
      </c>
      <c r="D150" s="21" t="s">
        <v>222</v>
      </c>
      <c r="E150" s="30">
        <v>414.0</v>
      </c>
      <c r="F150" s="30">
        <v>570.0</v>
      </c>
      <c r="G150" s="30">
        <f t="shared" si="1"/>
        <v>492</v>
      </c>
      <c r="H150" s="30">
        <f t="shared" si="2"/>
        <v>156</v>
      </c>
      <c r="I150" s="31">
        <f t="shared" si="3"/>
        <v>0.3170731707</v>
      </c>
    </row>
    <row r="151" ht="22.5" customHeight="1">
      <c r="A151" s="35">
        <v>46073.0</v>
      </c>
      <c r="B151" s="33" t="s">
        <v>129</v>
      </c>
      <c r="C151" s="21" t="s">
        <v>253</v>
      </c>
      <c r="D151" s="21" t="s">
        <v>222</v>
      </c>
      <c r="E151" s="30">
        <v>376.0</v>
      </c>
      <c r="F151" s="30">
        <v>480.0</v>
      </c>
      <c r="G151" s="30">
        <f t="shared" si="1"/>
        <v>428</v>
      </c>
      <c r="H151" s="30">
        <f t="shared" si="2"/>
        <v>104</v>
      </c>
      <c r="I151" s="31">
        <f t="shared" si="3"/>
        <v>0.2429906542</v>
      </c>
    </row>
    <row r="152" ht="22.5" customHeight="1">
      <c r="A152" s="35">
        <v>46073.0</v>
      </c>
      <c r="B152" s="33" t="s">
        <v>129</v>
      </c>
      <c r="C152" s="21" t="s">
        <v>227</v>
      </c>
      <c r="D152" s="21" t="s">
        <v>222</v>
      </c>
      <c r="E152" s="30">
        <v>359.0</v>
      </c>
      <c r="F152" s="30">
        <v>460.0</v>
      </c>
      <c r="G152" s="30">
        <f t="shared" si="1"/>
        <v>409.5</v>
      </c>
      <c r="H152" s="30">
        <f t="shared" si="2"/>
        <v>101</v>
      </c>
      <c r="I152" s="31">
        <f t="shared" si="3"/>
        <v>0.2466422466</v>
      </c>
    </row>
    <row r="153" ht="22.5" customHeight="1">
      <c r="A153" s="35">
        <v>46073.0</v>
      </c>
      <c r="B153" s="33" t="s">
        <v>129</v>
      </c>
      <c r="C153" s="21" t="s">
        <v>228</v>
      </c>
      <c r="D153" s="21" t="s">
        <v>222</v>
      </c>
      <c r="E153" s="30">
        <v>316.0</v>
      </c>
      <c r="F153" s="30">
        <v>350.0</v>
      </c>
      <c r="G153" s="30">
        <f t="shared" si="1"/>
        <v>333</v>
      </c>
      <c r="H153" s="30">
        <f t="shared" si="2"/>
        <v>34</v>
      </c>
      <c r="I153" s="31">
        <f t="shared" si="3"/>
        <v>0.1021021021</v>
      </c>
    </row>
    <row r="154">
      <c r="I154" s="36"/>
    </row>
    <row r="155">
      <c r="I155" s="36"/>
    </row>
    <row r="156">
      <c r="I156" s="36"/>
    </row>
    <row r="157">
      <c r="I157" s="36"/>
    </row>
    <row r="158">
      <c r="I158" s="36"/>
    </row>
    <row r="159">
      <c r="I159" s="36"/>
    </row>
    <row r="160">
      <c r="I160" s="36"/>
    </row>
    <row r="161">
      <c r="I161" s="36"/>
    </row>
    <row r="162">
      <c r="I162" s="36"/>
    </row>
    <row r="163">
      <c r="I163" s="36"/>
    </row>
    <row r="164">
      <c r="I164" s="36"/>
    </row>
    <row r="165">
      <c r="I165" s="36"/>
    </row>
    <row r="166">
      <c r="I166" s="36"/>
    </row>
    <row r="167">
      <c r="I167" s="36"/>
    </row>
    <row r="168">
      <c r="I168" s="36"/>
    </row>
    <row r="169">
      <c r="I169" s="36"/>
    </row>
    <row r="170">
      <c r="I170" s="36"/>
    </row>
    <row r="171">
      <c r="I171" s="36"/>
    </row>
    <row r="172">
      <c r="I172" s="36"/>
    </row>
    <row r="173">
      <c r="I173" s="36"/>
    </row>
    <row r="174">
      <c r="I174" s="36"/>
    </row>
    <row r="175">
      <c r="I175" s="36"/>
    </row>
    <row r="176">
      <c r="I176" s="36"/>
    </row>
    <row r="177">
      <c r="I177" s="36"/>
    </row>
    <row r="178">
      <c r="I178" s="36"/>
    </row>
    <row r="179">
      <c r="I179" s="36"/>
    </row>
    <row r="180">
      <c r="I180" s="36"/>
    </row>
    <row r="181">
      <c r="I181" s="36"/>
    </row>
    <row r="182">
      <c r="I182" s="36"/>
    </row>
    <row r="183">
      <c r="I183" s="36"/>
    </row>
    <row r="184">
      <c r="I184" s="36"/>
    </row>
    <row r="185">
      <c r="I185" s="36"/>
    </row>
    <row r="186">
      <c r="I186" s="36"/>
    </row>
    <row r="187">
      <c r="I187" s="36"/>
    </row>
    <row r="188">
      <c r="I188" s="36"/>
    </row>
    <row r="189">
      <c r="I189" s="36"/>
    </row>
    <row r="190">
      <c r="I190" s="36"/>
    </row>
    <row r="191">
      <c r="I191" s="36"/>
    </row>
    <row r="192">
      <c r="I192" s="36"/>
    </row>
    <row r="193">
      <c r="I193" s="36"/>
    </row>
    <row r="194">
      <c r="I194" s="36"/>
    </row>
    <row r="195">
      <c r="I195" s="36"/>
    </row>
    <row r="196">
      <c r="I196" s="36"/>
    </row>
    <row r="197">
      <c r="I197" s="36"/>
    </row>
    <row r="198">
      <c r="I198" s="36"/>
    </row>
    <row r="199">
      <c r="I199" s="36"/>
    </row>
    <row r="200">
      <c r="I200" s="36"/>
    </row>
    <row r="201">
      <c r="I201" s="36"/>
    </row>
    <row r="202">
      <c r="I202" s="36"/>
    </row>
    <row r="203">
      <c r="I203" s="36"/>
    </row>
    <row r="204">
      <c r="I204" s="36"/>
    </row>
    <row r="205">
      <c r="I205" s="36"/>
    </row>
    <row r="206">
      <c r="I206" s="36"/>
    </row>
    <row r="207">
      <c r="I207" s="36"/>
    </row>
    <row r="208">
      <c r="I208" s="36"/>
    </row>
    <row r="209">
      <c r="I209" s="36"/>
    </row>
    <row r="210">
      <c r="I210" s="36"/>
    </row>
    <row r="211">
      <c r="I211" s="36"/>
    </row>
    <row r="212">
      <c r="I212" s="36"/>
    </row>
    <row r="213">
      <c r="I213" s="36"/>
    </row>
    <row r="214">
      <c r="I214" s="36"/>
    </row>
    <row r="215">
      <c r="I215" s="36"/>
    </row>
    <row r="216">
      <c r="I216" s="36"/>
    </row>
    <row r="217">
      <c r="I217" s="36"/>
    </row>
    <row r="218">
      <c r="I218" s="36"/>
    </row>
    <row r="219">
      <c r="I219" s="36"/>
    </row>
    <row r="220">
      <c r="I220" s="36"/>
    </row>
    <row r="221">
      <c r="I221" s="36"/>
    </row>
    <row r="222">
      <c r="I222" s="36"/>
    </row>
    <row r="223">
      <c r="I223" s="36"/>
    </row>
    <row r="224">
      <c r="I224" s="36"/>
    </row>
    <row r="225">
      <c r="I225" s="36"/>
    </row>
    <row r="226">
      <c r="I226" s="36"/>
    </row>
    <row r="227">
      <c r="I227" s="36"/>
    </row>
    <row r="228">
      <c r="I228" s="36"/>
    </row>
    <row r="229">
      <c r="I229" s="36"/>
    </row>
    <row r="230">
      <c r="I230" s="36"/>
    </row>
    <row r="231">
      <c r="I231" s="36"/>
    </row>
    <row r="232">
      <c r="I232" s="36"/>
    </row>
    <row r="233">
      <c r="I233" s="36"/>
    </row>
    <row r="234">
      <c r="I234" s="36"/>
    </row>
    <row r="235">
      <c r="I235" s="36"/>
    </row>
    <row r="236">
      <c r="I236" s="36"/>
    </row>
    <row r="237">
      <c r="I237" s="36"/>
    </row>
    <row r="238">
      <c r="I238" s="36"/>
    </row>
    <row r="239">
      <c r="I239" s="36"/>
    </row>
    <row r="240">
      <c r="I240" s="36"/>
    </row>
    <row r="241">
      <c r="I241" s="36"/>
    </row>
    <row r="242">
      <c r="I242" s="36"/>
    </row>
    <row r="243">
      <c r="I243" s="36"/>
    </row>
    <row r="244">
      <c r="I244" s="36"/>
    </row>
    <row r="245">
      <c r="I245" s="36"/>
    </row>
    <row r="246">
      <c r="I246" s="36"/>
    </row>
    <row r="247">
      <c r="I247" s="36"/>
    </row>
    <row r="248">
      <c r="I248" s="36"/>
    </row>
    <row r="249">
      <c r="I249" s="36"/>
    </row>
    <row r="250">
      <c r="I250" s="36"/>
    </row>
    <row r="251">
      <c r="I251" s="36"/>
    </row>
    <row r="252">
      <c r="I252" s="36"/>
    </row>
    <row r="253">
      <c r="I253" s="36"/>
    </row>
    <row r="254">
      <c r="I254" s="36"/>
    </row>
    <row r="255">
      <c r="I255" s="36"/>
    </row>
    <row r="256">
      <c r="I256" s="36"/>
    </row>
    <row r="257">
      <c r="I257" s="36"/>
    </row>
    <row r="258">
      <c r="I258" s="36"/>
    </row>
    <row r="259">
      <c r="I259" s="36"/>
    </row>
    <row r="260">
      <c r="I260" s="36"/>
    </row>
    <row r="261">
      <c r="I261" s="36"/>
    </row>
    <row r="262">
      <c r="I262" s="36"/>
    </row>
    <row r="263">
      <c r="I263" s="36"/>
    </row>
    <row r="264">
      <c r="I264" s="36"/>
    </row>
    <row r="265">
      <c r="I265" s="36"/>
    </row>
    <row r="266">
      <c r="I266" s="36"/>
    </row>
    <row r="267">
      <c r="I267" s="36"/>
    </row>
    <row r="268">
      <c r="I268" s="36"/>
    </row>
    <row r="269">
      <c r="I269" s="36"/>
    </row>
    <row r="270">
      <c r="I270" s="36"/>
    </row>
    <row r="271">
      <c r="I271" s="36"/>
    </row>
    <row r="272">
      <c r="I272" s="36"/>
    </row>
    <row r="273">
      <c r="I273" s="36"/>
    </row>
    <row r="274">
      <c r="I274" s="36"/>
    </row>
    <row r="275">
      <c r="I275" s="36"/>
    </row>
    <row r="276">
      <c r="I276" s="36"/>
    </row>
    <row r="277">
      <c r="I277" s="36"/>
    </row>
    <row r="278">
      <c r="I278" s="36"/>
    </row>
    <row r="279">
      <c r="I279" s="36"/>
    </row>
    <row r="280">
      <c r="I280" s="36"/>
    </row>
    <row r="281">
      <c r="I281" s="36"/>
    </row>
    <row r="282">
      <c r="I282" s="36"/>
    </row>
    <row r="283">
      <c r="I283" s="36"/>
    </row>
    <row r="284">
      <c r="I284" s="36"/>
    </row>
    <row r="285">
      <c r="I285" s="36"/>
    </row>
    <row r="286">
      <c r="I286" s="36"/>
    </row>
    <row r="287">
      <c r="I287" s="36"/>
    </row>
    <row r="288">
      <c r="I288" s="36"/>
    </row>
    <row r="289">
      <c r="I289" s="36"/>
    </row>
    <row r="290">
      <c r="I290" s="36"/>
    </row>
    <row r="291">
      <c r="I291" s="36"/>
    </row>
    <row r="292">
      <c r="I292" s="36"/>
    </row>
    <row r="293">
      <c r="I293" s="36"/>
    </row>
    <row r="294">
      <c r="I294" s="36"/>
    </row>
    <row r="295">
      <c r="I295" s="36"/>
    </row>
    <row r="296">
      <c r="I296" s="36"/>
    </row>
    <row r="297">
      <c r="I297" s="36"/>
    </row>
    <row r="298">
      <c r="I298" s="36"/>
    </row>
    <row r="299">
      <c r="I299" s="36"/>
    </row>
    <row r="300">
      <c r="I300" s="36"/>
    </row>
    <row r="301">
      <c r="I301" s="36"/>
    </row>
    <row r="302">
      <c r="I302" s="36"/>
    </row>
    <row r="303">
      <c r="I303" s="36"/>
    </row>
    <row r="304">
      <c r="I304" s="36"/>
    </row>
    <row r="305">
      <c r="I305" s="36"/>
    </row>
    <row r="306">
      <c r="I306" s="36"/>
    </row>
    <row r="307">
      <c r="I307" s="36"/>
    </row>
    <row r="308">
      <c r="I308" s="36"/>
    </row>
    <row r="309">
      <c r="I309" s="36"/>
    </row>
    <row r="310">
      <c r="I310" s="36"/>
    </row>
    <row r="311">
      <c r="I311" s="36"/>
    </row>
    <row r="312">
      <c r="I312" s="36"/>
    </row>
    <row r="313">
      <c r="I313" s="36"/>
    </row>
    <row r="314">
      <c r="I314" s="36"/>
    </row>
    <row r="315">
      <c r="I315" s="36"/>
    </row>
    <row r="316">
      <c r="I316" s="36"/>
    </row>
    <row r="317">
      <c r="I317" s="36"/>
    </row>
    <row r="318">
      <c r="I318" s="36"/>
    </row>
    <row r="319">
      <c r="I319" s="36"/>
    </row>
    <row r="320">
      <c r="I320" s="36"/>
    </row>
    <row r="321">
      <c r="I321" s="36"/>
    </row>
    <row r="322">
      <c r="I322" s="36"/>
    </row>
    <row r="323">
      <c r="I323" s="36"/>
    </row>
    <row r="324">
      <c r="I324" s="36"/>
    </row>
    <row r="325">
      <c r="I325" s="36"/>
    </row>
    <row r="326">
      <c r="I326" s="36"/>
    </row>
    <row r="327">
      <c r="I327" s="36"/>
    </row>
    <row r="328">
      <c r="I328" s="36"/>
    </row>
    <row r="329">
      <c r="I329" s="36"/>
    </row>
    <row r="330">
      <c r="I330" s="36"/>
    </row>
    <row r="331">
      <c r="I331" s="36"/>
    </row>
    <row r="332">
      <c r="I332" s="36"/>
    </row>
    <row r="333">
      <c r="I333" s="36"/>
    </row>
    <row r="334">
      <c r="I334" s="36"/>
    </row>
    <row r="335">
      <c r="I335" s="36"/>
    </row>
    <row r="336">
      <c r="I336" s="36"/>
    </row>
    <row r="337">
      <c r="I337" s="36"/>
    </row>
    <row r="338">
      <c r="I338" s="36"/>
    </row>
    <row r="339">
      <c r="I339" s="36"/>
    </row>
    <row r="340">
      <c r="I340" s="36"/>
    </row>
    <row r="341">
      <c r="I341" s="36"/>
    </row>
    <row r="342">
      <c r="I342" s="36"/>
    </row>
    <row r="343">
      <c r="I343" s="36"/>
    </row>
    <row r="344">
      <c r="I344" s="36"/>
    </row>
    <row r="345">
      <c r="I345" s="36"/>
    </row>
    <row r="346">
      <c r="I346" s="36"/>
    </row>
    <row r="347">
      <c r="I347" s="36"/>
    </row>
    <row r="348">
      <c r="I348" s="36"/>
    </row>
    <row r="349">
      <c r="I349" s="36"/>
    </row>
    <row r="350">
      <c r="I350" s="36"/>
    </row>
    <row r="351">
      <c r="I351" s="36"/>
    </row>
    <row r="352">
      <c r="I352" s="36"/>
    </row>
    <row r="353">
      <c r="I353" s="36"/>
    </row>
    <row r="354">
      <c r="I354" s="36"/>
    </row>
    <row r="355">
      <c r="I355" s="36"/>
    </row>
    <row r="356">
      <c r="I356" s="36"/>
    </row>
    <row r="357">
      <c r="I357" s="36"/>
    </row>
    <row r="358">
      <c r="I358" s="36"/>
    </row>
    <row r="359">
      <c r="I359" s="36"/>
    </row>
    <row r="360">
      <c r="I360" s="36"/>
    </row>
    <row r="361">
      <c r="I361" s="36"/>
    </row>
    <row r="362">
      <c r="I362" s="36"/>
    </row>
    <row r="363">
      <c r="I363" s="36"/>
    </row>
    <row r="364">
      <c r="I364" s="36"/>
    </row>
    <row r="365">
      <c r="I365" s="36"/>
    </row>
    <row r="366">
      <c r="I366" s="36"/>
    </row>
    <row r="367">
      <c r="I367" s="36"/>
    </row>
    <row r="368">
      <c r="I368" s="36"/>
    </row>
    <row r="369">
      <c r="I369" s="36"/>
    </row>
    <row r="370">
      <c r="I370" s="36"/>
    </row>
    <row r="371">
      <c r="I371" s="36"/>
    </row>
    <row r="372">
      <c r="I372" s="36"/>
    </row>
    <row r="373">
      <c r="I373" s="36"/>
    </row>
    <row r="374">
      <c r="I374" s="36"/>
    </row>
    <row r="375">
      <c r="I375" s="36"/>
    </row>
    <row r="376">
      <c r="I376" s="36"/>
    </row>
    <row r="377">
      <c r="I377" s="36"/>
    </row>
    <row r="378">
      <c r="I378" s="36"/>
    </row>
    <row r="379">
      <c r="I379" s="36"/>
    </row>
    <row r="380">
      <c r="I380" s="36"/>
    </row>
    <row r="381">
      <c r="I381" s="36"/>
    </row>
    <row r="382">
      <c r="I382" s="36"/>
    </row>
    <row r="383">
      <c r="I383" s="36"/>
    </row>
    <row r="384">
      <c r="I384" s="36"/>
    </row>
    <row r="385">
      <c r="I385" s="36"/>
    </row>
    <row r="386">
      <c r="I386" s="36"/>
    </row>
    <row r="387">
      <c r="I387" s="36"/>
    </row>
    <row r="388">
      <c r="I388" s="36"/>
    </row>
    <row r="389">
      <c r="I389" s="36"/>
    </row>
    <row r="390">
      <c r="I390" s="36"/>
    </row>
    <row r="391">
      <c r="I391" s="36"/>
    </row>
    <row r="392">
      <c r="I392" s="36"/>
    </row>
    <row r="393">
      <c r="I393" s="36"/>
    </row>
    <row r="394">
      <c r="I394" s="36"/>
    </row>
    <row r="395">
      <c r="I395" s="36"/>
    </row>
    <row r="396">
      <c r="I396" s="36"/>
    </row>
    <row r="397">
      <c r="I397" s="36"/>
    </row>
    <row r="398">
      <c r="I398" s="36"/>
    </row>
    <row r="399">
      <c r="I399" s="36"/>
    </row>
    <row r="400">
      <c r="I400" s="36"/>
    </row>
    <row r="401">
      <c r="I401" s="36"/>
    </row>
    <row r="402">
      <c r="I402" s="36"/>
    </row>
    <row r="403">
      <c r="I403" s="36"/>
    </row>
    <row r="404">
      <c r="I404" s="36"/>
    </row>
    <row r="405">
      <c r="I405" s="36"/>
    </row>
    <row r="406">
      <c r="I406" s="36"/>
    </row>
    <row r="407">
      <c r="I407" s="36"/>
    </row>
    <row r="408">
      <c r="I408" s="36"/>
    </row>
    <row r="409">
      <c r="I409" s="36"/>
    </row>
    <row r="410">
      <c r="I410" s="36"/>
    </row>
    <row r="411">
      <c r="I411" s="36"/>
    </row>
    <row r="412">
      <c r="I412" s="36"/>
    </row>
    <row r="413">
      <c r="I413" s="36"/>
    </row>
    <row r="414">
      <c r="I414" s="36"/>
    </row>
    <row r="415">
      <c r="I415" s="36"/>
    </row>
    <row r="416">
      <c r="I416" s="36"/>
    </row>
    <row r="417">
      <c r="I417" s="36"/>
    </row>
    <row r="418">
      <c r="I418" s="36"/>
    </row>
    <row r="419">
      <c r="I419" s="36"/>
    </row>
    <row r="420">
      <c r="I420" s="36"/>
    </row>
    <row r="421">
      <c r="I421" s="36"/>
    </row>
    <row r="422">
      <c r="I422" s="36"/>
    </row>
    <row r="423">
      <c r="I423" s="36"/>
    </row>
    <row r="424">
      <c r="I424" s="36"/>
    </row>
    <row r="425">
      <c r="I425" s="36"/>
    </row>
    <row r="426">
      <c r="I426" s="36"/>
    </row>
    <row r="427">
      <c r="I427" s="36"/>
    </row>
    <row r="428">
      <c r="I428" s="36"/>
    </row>
    <row r="429">
      <c r="I429" s="36"/>
    </row>
    <row r="430">
      <c r="I430" s="36"/>
    </row>
    <row r="431">
      <c r="I431" s="36"/>
    </row>
    <row r="432">
      <c r="I432" s="36"/>
    </row>
    <row r="433">
      <c r="I433" s="36"/>
    </row>
    <row r="434">
      <c r="I434" s="36"/>
    </row>
    <row r="435">
      <c r="I435" s="36"/>
    </row>
    <row r="436">
      <c r="I436" s="36"/>
    </row>
    <row r="437">
      <c r="I437" s="36"/>
    </row>
    <row r="438">
      <c r="I438" s="36"/>
    </row>
    <row r="439">
      <c r="I439" s="36"/>
    </row>
    <row r="440">
      <c r="I440" s="36"/>
    </row>
    <row r="441">
      <c r="I441" s="36"/>
    </row>
    <row r="442">
      <c r="I442" s="36"/>
    </row>
    <row r="443">
      <c r="I443" s="36"/>
    </row>
    <row r="444">
      <c r="I444" s="36"/>
    </row>
    <row r="445">
      <c r="I445" s="36"/>
    </row>
    <row r="446">
      <c r="I446" s="36"/>
    </row>
    <row r="447">
      <c r="I447" s="36"/>
    </row>
    <row r="448">
      <c r="I448" s="36"/>
    </row>
    <row r="449">
      <c r="I449" s="36"/>
    </row>
    <row r="450">
      <c r="I450" s="36"/>
    </row>
    <row r="451">
      <c r="I451" s="36"/>
    </row>
    <row r="452">
      <c r="I452" s="36"/>
    </row>
    <row r="453">
      <c r="I453" s="36"/>
    </row>
    <row r="454">
      <c r="I454" s="36"/>
    </row>
    <row r="455">
      <c r="I455" s="36"/>
    </row>
    <row r="456">
      <c r="I456" s="36"/>
    </row>
    <row r="457">
      <c r="I457" s="36"/>
    </row>
    <row r="458">
      <c r="I458" s="36"/>
    </row>
    <row r="459">
      <c r="I459" s="36"/>
    </row>
    <row r="460">
      <c r="I460" s="36"/>
    </row>
    <row r="461">
      <c r="I461" s="36"/>
    </row>
    <row r="462">
      <c r="I462" s="36"/>
    </row>
    <row r="463">
      <c r="I463" s="36"/>
    </row>
    <row r="464">
      <c r="I464" s="36"/>
    </row>
    <row r="465">
      <c r="I465" s="36"/>
    </row>
    <row r="466">
      <c r="I466" s="36"/>
    </row>
    <row r="467">
      <c r="I467" s="36"/>
    </row>
    <row r="468">
      <c r="I468" s="36"/>
    </row>
    <row r="469">
      <c r="I469" s="36"/>
    </row>
    <row r="470">
      <c r="I470" s="36"/>
    </row>
    <row r="471">
      <c r="I471" s="36"/>
    </row>
    <row r="472">
      <c r="I472" s="36"/>
    </row>
    <row r="473">
      <c r="I473" s="36"/>
    </row>
    <row r="474">
      <c r="I474" s="36"/>
    </row>
    <row r="475">
      <c r="I475" s="36"/>
    </row>
    <row r="476">
      <c r="I476" s="36"/>
    </row>
    <row r="477">
      <c r="I477" s="36"/>
    </row>
    <row r="478">
      <c r="I478" s="36"/>
    </row>
    <row r="479">
      <c r="I479" s="36"/>
    </row>
    <row r="480">
      <c r="I480" s="36"/>
    </row>
    <row r="481">
      <c r="I481" s="36"/>
    </row>
    <row r="482">
      <c r="I482" s="36"/>
    </row>
    <row r="483">
      <c r="I483" s="36"/>
    </row>
    <row r="484">
      <c r="I484" s="36"/>
    </row>
    <row r="485">
      <c r="I485" s="36"/>
    </row>
    <row r="486">
      <c r="I486" s="36"/>
    </row>
    <row r="487">
      <c r="I487" s="36"/>
    </row>
    <row r="488">
      <c r="I488" s="36"/>
    </row>
    <row r="489">
      <c r="I489" s="36"/>
    </row>
    <row r="490">
      <c r="I490" s="36"/>
    </row>
    <row r="491">
      <c r="I491" s="36"/>
    </row>
    <row r="492">
      <c r="I492" s="36"/>
    </row>
    <row r="493">
      <c r="I493" s="36"/>
    </row>
    <row r="494">
      <c r="I494" s="36"/>
    </row>
    <row r="495">
      <c r="I495" s="36"/>
    </row>
    <row r="496">
      <c r="I496" s="36"/>
    </row>
    <row r="497">
      <c r="I497" s="36"/>
    </row>
    <row r="498">
      <c r="I498" s="36"/>
    </row>
    <row r="499">
      <c r="I499" s="36"/>
    </row>
    <row r="500">
      <c r="I500" s="36"/>
    </row>
    <row r="501">
      <c r="I501" s="36"/>
    </row>
    <row r="502">
      <c r="I502" s="36"/>
    </row>
    <row r="503">
      <c r="I503" s="36"/>
    </row>
    <row r="504">
      <c r="I504" s="36"/>
    </row>
    <row r="505">
      <c r="I505" s="36"/>
    </row>
    <row r="506">
      <c r="I506" s="36"/>
    </row>
    <row r="507">
      <c r="I507" s="36"/>
    </row>
    <row r="508">
      <c r="I508" s="36"/>
    </row>
    <row r="509">
      <c r="I509" s="36"/>
    </row>
    <row r="510">
      <c r="I510" s="36"/>
    </row>
    <row r="511">
      <c r="I511" s="36"/>
    </row>
    <row r="512">
      <c r="I512" s="36"/>
    </row>
    <row r="513">
      <c r="I513" s="36"/>
    </row>
    <row r="514">
      <c r="I514" s="36"/>
    </row>
    <row r="515">
      <c r="I515" s="36"/>
    </row>
    <row r="516">
      <c r="I516" s="36"/>
    </row>
    <row r="517">
      <c r="I517" s="36"/>
    </row>
    <row r="518">
      <c r="I518" s="36"/>
    </row>
    <row r="519">
      <c r="I519" s="36"/>
    </row>
    <row r="520">
      <c r="I520" s="36"/>
    </row>
    <row r="521">
      <c r="I521" s="36"/>
    </row>
    <row r="522">
      <c r="I522" s="36"/>
    </row>
    <row r="523">
      <c r="I523" s="36"/>
    </row>
    <row r="524">
      <c r="I524" s="36"/>
    </row>
    <row r="525">
      <c r="I525" s="36"/>
    </row>
    <row r="526">
      <c r="I526" s="36"/>
    </row>
    <row r="527">
      <c r="I527" s="36"/>
    </row>
    <row r="528">
      <c r="I528" s="36"/>
    </row>
    <row r="529">
      <c r="I529" s="36"/>
    </row>
    <row r="530">
      <c r="I530" s="36"/>
    </row>
    <row r="531">
      <c r="I531" s="36"/>
    </row>
    <row r="532">
      <c r="I532" s="36"/>
    </row>
    <row r="533">
      <c r="I533" s="36"/>
    </row>
    <row r="534">
      <c r="I534" s="36"/>
    </row>
    <row r="535">
      <c r="I535" s="36"/>
    </row>
    <row r="536">
      <c r="I536" s="36"/>
    </row>
    <row r="537">
      <c r="I537" s="36"/>
    </row>
    <row r="538">
      <c r="I538" s="36"/>
    </row>
    <row r="539">
      <c r="I539" s="36"/>
    </row>
    <row r="540">
      <c r="I540" s="36"/>
    </row>
    <row r="541">
      <c r="I541" s="36"/>
    </row>
    <row r="542">
      <c r="I542" s="36"/>
    </row>
    <row r="543">
      <c r="I543" s="36"/>
    </row>
    <row r="544">
      <c r="I544" s="36"/>
    </row>
    <row r="545">
      <c r="I545" s="36"/>
    </row>
    <row r="546">
      <c r="I546" s="36"/>
    </row>
    <row r="547">
      <c r="I547" s="36"/>
    </row>
    <row r="548">
      <c r="I548" s="36"/>
    </row>
    <row r="549">
      <c r="I549" s="36"/>
    </row>
    <row r="550">
      <c r="I550" s="36"/>
    </row>
    <row r="551">
      <c r="I551" s="36"/>
    </row>
    <row r="552">
      <c r="I552" s="36"/>
    </row>
    <row r="553">
      <c r="I553" s="36"/>
    </row>
    <row r="554">
      <c r="I554" s="36"/>
    </row>
    <row r="555">
      <c r="I555" s="36"/>
    </row>
    <row r="556">
      <c r="I556" s="36"/>
    </row>
    <row r="557">
      <c r="I557" s="36"/>
    </row>
    <row r="558">
      <c r="I558" s="36"/>
    </row>
    <row r="559">
      <c r="I559" s="36"/>
    </row>
    <row r="560">
      <c r="I560" s="36"/>
    </row>
    <row r="561">
      <c r="I561" s="36"/>
    </row>
    <row r="562">
      <c r="I562" s="36"/>
    </row>
    <row r="563">
      <c r="I563" s="36"/>
    </row>
    <row r="564">
      <c r="I564" s="36"/>
    </row>
    <row r="565">
      <c r="I565" s="36"/>
    </row>
    <row r="566">
      <c r="I566" s="36"/>
    </row>
    <row r="567">
      <c r="I567" s="36"/>
    </row>
    <row r="568">
      <c r="I568" s="36"/>
    </row>
    <row r="569">
      <c r="I569" s="36"/>
    </row>
    <row r="570">
      <c r="I570" s="36"/>
    </row>
    <row r="571">
      <c r="I571" s="36"/>
    </row>
    <row r="572">
      <c r="I572" s="36"/>
    </row>
    <row r="573">
      <c r="I573" s="36"/>
    </row>
    <row r="574">
      <c r="I574" s="36"/>
    </row>
    <row r="575">
      <c r="I575" s="36"/>
    </row>
    <row r="576">
      <c r="I576" s="36"/>
    </row>
    <row r="577">
      <c r="I577" s="36"/>
    </row>
    <row r="578">
      <c r="I578" s="36"/>
    </row>
    <row r="579">
      <c r="I579" s="36"/>
    </row>
    <row r="580">
      <c r="I580" s="36"/>
    </row>
    <row r="581">
      <c r="I581" s="36"/>
    </row>
    <row r="582">
      <c r="I582" s="36"/>
    </row>
    <row r="583">
      <c r="I583" s="36"/>
    </row>
    <row r="584">
      <c r="I584" s="36"/>
    </row>
    <row r="585">
      <c r="I585" s="36"/>
    </row>
    <row r="586">
      <c r="I586" s="36"/>
    </row>
    <row r="587">
      <c r="I587" s="36"/>
    </row>
    <row r="588">
      <c r="I588" s="36"/>
    </row>
    <row r="589">
      <c r="I589" s="36"/>
    </row>
    <row r="590">
      <c r="I590" s="36"/>
    </row>
    <row r="591">
      <c r="I591" s="36"/>
    </row>
    <row r="592">
      <c r="I592" s="36"/>
    </row>
    <row r="593">
      <c r="I593" s="36"/>
    </row>
    <row r="594">
      <c r="I594" s="36"/>
    </row>
    <row r="595">
      <c r="I595" s="36"/>
    </row>
    <row r="596">
      <c r="I596" s="36"/>
    </row>
    <row r="597">
      <c r="I597" s="36"/>
    </row>
    <row r="598">
      <c r="I598" s="36"/>
    </row>
    <row r="599">
      <c r="I599" s="36"/>
    </row>
    <row r="600">
      <c r="I600" s="36"/>
    </row>
    <row r="601">
      <c r="I601" s="36"/>
    </row>
    <row r="602">
      <c r="I602" s="36"/>
    </row>
    <row r="603">
      <c r="I603" s="36"/>
    </row>
    <row r="604">
      <c r="I604" s="36"/>
    </row>
    <row r="605">
      <c r="I605" s="36"/>
    </row>
    <row r="606">
      <c r="I606" s="36"/>
    </row>
    <row r="607">
      <c r="I607" s="36"/>
    </row>
    <row r="608">
      <c r="I608" s="36"/>
    </row>
    <row r="609">
      <c r="I609" s="36"/>
    </row>
    <row r="610">
      <c r="I610" s="36"/>
    </row>
    <row r="611">
      <c r="I611" s="36"/>
    </row>
    <row r="612">
      <c r="I612" s="36"/>
    </row>
    <row r="613">
      <c r="I613" s="36"/>
    </row>
    <row r="614">
      <c r="I614" s="36"/>
    </row>
    <row r="615">
      <c r="I615" s="36"/>
    </row>
    <row r="616">
      <c r="I616" s="36"/>
    </row>
    <row r="617">
      <c r="I617" s="36"/>
    </row>
    <row r="618">
      <c r="I618" s="36"/>
    </row>
    <row r="619">
      <c r="I619" s="36"/>
    </row>
    <row r="620">
      <c r="I620" s="36"/>
    </row>
    <row r="621">
      <c r="I621" s="36"/>
    </row>
    <row r="622">
      <c r="I622" s="36"/>
    </row>
    <row r="623">
      <c r="I623" s="36"/>
    </row>
    <row r="624">
      <c r="I624" s="36"/>
    </row>
    <row r="625">
      <c r="I625" s="36"/>
    </row>
    <row r="626">
      <c r="I626" s="36"/>
    </row>
    <row r="627">
      <c r="I627" s="36"/>
    </row>
    <row r="628">
      <c r="I628" s="36"/>
    </row>
    <row r="629">
      <c r="I629" s="36"/>
    </row>
    <row r="630">
      <c r="I630" s="36"/>
    </row>
    <row r="631">
      <c r="I631" s="36"/>
    </row>
    <row r="632">
      <c r="I632" s="36"/>
    </row>
    <row r="633">
      <c r="I633" s="36"/>
    </row>
    <row r="634">
      <c r="I634" s="36"/>
    </row>
    <row r="635">
      <c r="I635" s="36"/>
    </row>
    <row r="636">
      <c r="I636" s="36"/>
    </row>
    <row r="637">
      <c r="I637" s="36"/>
    </row>
    <row r="638">
      <c r="I638" s="36"/>
    </row>
    <row r="639">
      <c r="I639" s="36"/>
    </row>
    <row r="640">
      <c r="I640" s="36"/>
    </row>
    <row r="641">
      <c r="I641" s="36"/>
    </row>
    <row r="642">
      <c r="I642" s="36"/>
    </row>
    <row r="643">
      <c r="I643" s="36"/>
    </row>
    <row r="644">
      <c r="I644" s="36"/>
    </row>
    <row r="645">
      <c r="I645" s="36"/>
    </row>
    <row r="646">
      <c r="I646" s="36"/>
    </row>
    <row r="647">
      <c r="I647" s="36"/>
    </row>
    <row r="648">
      <c r="I648" s="36"/>
    </row>
    <row r="649">
      <c r="I649" s="36"/>
    </row>
    <row r="650">
      <c r="I650" s="36"/>
    </row>
    <row r="651">
      <c r="I651" s="36"/>
    </row>
    <row r="652">
      <c r="I652" s="36"/>
    </row>
    <row r="653">
      <c r="I653" s="36"/>
    </row>
    <row r="654">
      <c r="I654" s="36"/>
    </row>
    <row r="655">
      <c r="I655" s="36"/>
    </row>
    <row r="656">
      <c r="I656" s="36"/>
    </row>
    <row r="657">
      <c r="I657" s="36"/>
    </row>
    <row r="658">
      <c r="I658" s="36"/>
    </row>
    <row r="659">
      <c r="I659" s="36"/>
    </row>
    <row r="660">
      <c r="I660" s="36"/>
    </row>
    <row r="661">
      <c r="I661" s="36"/>
    </row>
    <row r="662">
      <c r="I662" s="36"/>
    </row>
    <row r="663">
      <c r="I663" s="36"/>
    </row>
    <row r="664">
      <c r="I664" s="36"/>
    </row>
    <row r="665">
      <c r="I665" s="36"/>
    </row>
    <row r="666">
      <c r="I666" s="36"/>
    </row>
    <row r="667">
      <c r="I667" s="36"/>
    </row>
    <row r="668">
      <c r="I668" s="36"/>
    </row>
    <row r="669">
      <c r="I669" s="36"/>
    </row>
    <row r="670">
      <c r="I670" s="36"/>
    </row>
    <row r="671">
      <c r="I671" s="36"/>
    </row>
    <row r="672">
      <c r="I672" s="36"/>
    </row>
    <row r="673">
      <c r="I673" s="36"/>
    </row>
    <row r="674">
      <c r="I674" s="36"/>
    </row>
    <row r="675">
      <c r="I675" s="36"/>
    </row>
    <row r="676">
      <c r="I676" s="36"/>
    </row>
    <row r="677">
      <c r="I677" s="36"/>
    </row>
    <row r="678">
      <c r="I678" s="36"/>
    </row>
    <row r="679">
      <c r="I679" s="36"/>
    </row>
    <row r="680">
      <c r="I680" s="36"/>
    </row>
    <row r="681">
      <c r="I681" s="36"/>
    </row>
    <row r="682">
      <c r="I682" s="36"/>
    </row>
    <row r="683">
      <c r="I683" s="36"/>
    </row>
    <row r="684">
      <c r="I684" s="36"/>
    </row>
    <row r="685">
      <c r="I685" s="36"/>
    </row>
    <row r="686">
      <c r="I686" s="36"/>
    </row>
    <row r="687">
      <c r="I687" s="36"/>
    </row>
    <row r="688">
      <c r="I688" s="36"/>
    </row>
    <row r="689">
      <c r="I689" s="36"/>
    </row>
    <row r="690">
      <c r="I690" s="36"/>
    </row>
    <row r="691">
      <c r="I691" s="36"/>
    </row>
    <row r="692">
      <c r="I692" s="36"/>
    </row>
    <row r="693">
      <c r="I693" s="36"/>
    </row>
    <row r="694">
      <c r="I694" s="36"/>
    </row>
    <row r="695">
      <c r="I695" s="36"/>
    </row>
    <row r="696">
      <c r="I696" s="36"/>
    </row>
    <row r="697">
      <c r="I697" s="36"/>
    </row>
    <row r="698">
      <c r="I698" s="36"/>
    </row>
    <row r="699">
      <c r="I699" s="36"/>
    </row>
    <row r="700">
      <c r="I700" s="36"/>
    </row>
    <row r="701">
      <c r="I701" s="36"/>
    </row>
    <row r="702">
      <c r="I702" s="36"/>
    </row>
    <row r="703">
      <c r="I703" s="36"/>
    </row>
    <row r="704">
      <c r="I704" s="36"/>
    </row>
    <row r="705">
      <c r="I705" s="36"/>
    </row>
    <row r="706">
      <c r="I706" s="36"/>
    </row>
    <row r="707">
      <c r="I707" s="36"/>
    </row>
    <row r="708">
      <c r="I708" s="36"/>
    </row>
    <row r="709">
      <c r="I709" s="36"/>
    </row>
    <row r="710">
      <c r="I710" s="36"/>
    </row>
    <row r="711">
      <c r="I711" s="36"/>
    </row>
    <row r="712">
      <c r="I712" s="36"/>
    </row>
    <row r="713">
      <c r="I713" s="36"/>
    </row>
    <row r="714">
      <c r="I714" s="36"/>
    </row>
    <row r="715">
      <c r="I715" s="36"/>
    </row>
    <row r="716">
      <c r="I716" s="36"/>
    </row>
    <row r="717">
      <c r="I717" s="36"/>
    </row>
    <row r="718">
      <c r="I718" s="36"/>
    </row>
    <row r="719">
      <c r="I719" s="36"/>
    </row>
    <row r="720">
      <c r="I720" s="36"/>
    </row>
    <row r="721">
      <c r="I721" s="36"/>
    </row>
    <row r="722">
      <c r="I722" s="36"/>
    </row>
    <row r="723">
      <c r="I723" s="36"/>
    </row>
    <row r="724">
      <c r="I724" s="36"/>
    </row>
    <row r="725">
      <c r="I725" s="36"/>
    </row>
    <row r="726">
      <c r="I726" s="36"/>
    </row>
    <row r="727">
      <c r="I727" s="36"/>
    </row>
    <row r="728">
      <c r="I728" s="36"/>
    </row>
    <row r="729">
      <c r="I729" s="36"/>
    </row>
    <row r="730">
      <c r="I730" s="36"/>
    </row>
    <row r="731">
      <c r="I731" s="36"/>
    </row>
    <row r="732">
      <c r="I732" s="36"/>
    </row>
    <row r="733">
      <c r="I733" s="36"/>
    </row>
    <row r="734">
      <c r="I734" s="36"/>
    </row>
    <row r="735">
      <c r="I735" s="36"/>
    </row>
    <row r="736">
      <c r="I736" s="36"/>
    </row>
    <row r="737">
      <c r="I737" s="36"/>
    </row>
    <row r="738">
      <c r="I738" s="36"/>
    </row>
    <row r="739">
      <c r="I739" s="36"/>
    </row>
    <row r="740">
      <c r="I740" s="36"/>
    </row>
    <row r="741">
      <c r="I741" s="36"/>
    </row>
    <row r="742">
      <c r="I742" s="36"/>
    </row>
    <row r="743">
      <c r="I743" s="36"/>
    </row>
    <row r="744">
      <c r="I744" s="36"/>
    </row>
    <row r="745">
      <c r="I745" s="36"/>
    </row>
    <row r="746">
      <c r="I746" s="36"/>
    </row>
    <row r="747">
      <c r="I747" s="36"/>
    </row>
    <row r="748">
      <c r="I748" s="36"/>
    </row>
    <row r="749">
      <c r="I749" s="36"/>
    </row>
    <row r="750">
      <c r="I750" s="36"/>
    </row>
    <row r="751">
      <c r="I751" s="36"/>
    </row>
    <row r="752">
      <c r="I752" s="36"/>
    </row>
    <row r="753">
      <c r="I753" s="36"/>
    </row>
    <row r="754">
      <c r="I754" s="36"/>
    </row>
    <row r="755">
      <c r="I755" s="36"/>
    </row>
    <row r="756">
      <c r="I756" s="36"/>
    </row>
    <row r="757">
      <c r="I757" s="36"/>
    </row>
    <row r="758">
      <c r="I758" s="36"/>
    </row>
    <row r="759">
      <c r="I759" s="36"/>
    </row>
    <row r="760">
      <c r="I760" s="36"/>
    </row>
    <row r="761">
      <c r="I761" s="36"/>
    </row>
    <row r="762">
      <c r="I762" s="36"/>
    </row>
    <row r="763">
      <c r="I763" s="36"/>
    </row>
    <row r="764">
      <c r="I764" s="36"/>
    </row>
    <row r="765">
      <c r="I765" s="36"/>
    </row>
    <row r="766">
      <c r="I766" s="36"/>
    </row>
    <row r="767">
      <c r="I767" s="36"/>
    </row>
    <row r="768">
      <c r="I768" s="36"/>
    </row>
    <row r="769">
      <c r="I769" s="36"/>
    </row>
    <row r="770">
      <c r="I770" s="36"/>
    </row>
    <row r="771">
      <c r="I771" s="36"/>
    </row>
    <row r="772">
      <c r="I772" s="36"/>
    </row>
    <row r="773">
      <c r="I773" s="36"/>
    </row>
    <row r="774">
      <c r="I774" s="36"/>
    </row>
    <row r="775">
      <c r="I775" s="36"/>
    </row>
    <row r="776">
      <c r="I776" s="36"/>
    </row>
    <row r="777">
      <c r="I777" s="36"/>
    </row>
    <row r="778">
      <c r="I778" s="36"/>
    </row>
    <row r="779">
      <c r="I779" s="36"/>
    </row>
    <row r="780">
      <c r="I780" s="36"/>
    </row>
    <row r="781">
      <c r="I781" s="36"/>
    </row>
    <row r="782">
      <c r="I782" s="36"/>
    </row>
    <row r="783">
      <c r="I783" s="36"/>
    </row>
    <row r="784">
      <c r="I784" s="36"/>
    </row>
    <row r="785">
      <c r="I785" s="36"/>
    </row>
    <row r="786">
      <c r="I786" s="36"/>
    </row>
    <row r="787">
      <c r="I787" s="36"/>
    </row>
    <row r="788">
      <c r="I788" s="36"/>
    </row>
    <row r="789">
      <c r="I789" s="36"/>
    </row>
    <row r="790">
      <c r="I790" s="36"/>
    </row>
    <row r="791">
      <c r="I791" s="36"/>
    </row>
    <row r="792">
      <c r="I792" s="36"/>
    </row>
    <row r="793">
      <c r="I793" s="36"/>
    </row>
    <row r="794">
      <c r="I794" s="36"/>
    </row>
    <row r="795">
      <c r="I795" s="36"/>
    </row>
    <row r="796">
      <c r="I796" s="36"/>
    </row>
    <row r="797">
      <c r="I797" s="36"/>
    </row>
    <row r="798">
      <c r="I798" s="36"/>
    </row>
    <row r="799">
      <c r="I799" s="36"/>
    </row>
    <row r="800">
      <c r="I800" s="36"/>
    </row>
    <row r="801">
      <c r="I801" s="36"/>
    </row>
    <row r="802">
      <c r="I802" s="36"/>
    </row>
    <row r="803">
      <c r="I803" s="36"/>
    </row>
    <row r="804">
      <c r="I804" s="36"/>
    </row>
    <row r="805">
      <c r="I805" s="36"/>
    </row>
    <row r="806">
      <c r="I806" s="36"/>
    </row>
    <row r="807">
      <c r="I807" s="36"/>
    </row>
    <row r="808">
      <c r="I808" s="36"/>
    </row>
    <row r="809">
      <c r="I809" s="36"/>
    </row>
    <row r="810">
      <c r="I810" s="36"/>
    </row>
    <row r="811">
      <c r="I811" s="36"/>
    </row>
    <row r="812">
      <c r="I812" s="36"/>
    </row>
    <row r="813">
      <c r="I813" s="36"/>
    </row>
    <row r="814">
      <c r="I814" s="36"/>
    </row>
    <row r="815">
      <c r="I815" s="36"/>
    </row>
    <row r="816">
      <c r="I816" s="36"/>
    </row>
    <row r="817">
      <c r="I817" s="36"/>
    </row>
    <row r="818">
      <c r="I818" s="36"/>
    </row>
    <row r="819">
      <c r="I819" s="36"/>
    </row>
    <row r="820">
      <c r="I820" s="36"/>
    </row>
    <row r="821">
      <c r="I821" s="36"/>
    </row>
    <row r="822">
      <c r="I822" s="36"/>
    </row>
    <row r="823">
      <c r="I823" s="36"/>
    </row>
    <row r="824">
      <c r="I824" s="36"/>
    </row>
    <row r="825">
      <c r="I825" s="36"/>
    </row>
    <row r="826">
      <c r="I826" s="36"/>
    </row>
    <row r="827">
      <c r="I827" s="36"/>
    </row>
    <row r="828">
      <c r="I828" s="36"/>
    </row>
    <row r="829">
      <c r="I829" s="36"/>
    </row>
    <row r="830">
      <c r="I830" s="36"/>
    </row>
    <row r="831">
      <c r="I831" s="36"/>
    </row>
    <row r="832">
      <c r="I832" s="36"/>
    </row>
    <row r="833">
      <c r="I833" s="36"/>
    </row>
    <row r="834">
      <c r="I834" s="36"/>
    </row>
    <row r="835">
      <c r="I835" s="36"/>
    </row>
    <row r="836">
      <c r="I836" s="36"/>
    </row>
    <row r="837">
      <c r="I837" s="36"/>
    </row>
    <row r="838">
      <c r="I838" s="36"/>
    </row>
    <row r="839">
      <c r="I839" s="36"/>
    </row>
    <row r="840">
      <c r="I840" s="36"/>
    </row>
    <row r="841">
      <c r="I841" s="36"/>
    </row>
    <row r="842">
      <c r="I842" s="36"/>
    </row>
    <row r="843">
      <c r="I843" s="36"/>
    </row>
    <row r="844">
      <c r="I844" s="36"/>
    </row>
    <row r="845">
      <c r="I845" s="36"/>
    </row>
    <row r="846">
      <c r="I846" s="36"/>
    </row>
    <row r="847">
      <c r="I847" s="36"/>
    </row>
    <row r="848">
      <c r="I848" s="36"/>
    </row>
    <row r="849">
      <c r="I849" s="36"/>
    </row>
    <row r="850">
      <c r="I850" s="36"/>
    </row>
    <row r="851">
      <c r="I851" s="36"/>
    </row>
    <row r="852">
      <c r="I852" s="36"/>
    </row>
    <row r="853">
      <c r="I853" s="36"/>
    </row>
    <row r="854">
      <c r="I854" s="36"/>
    </row>
    <row r="855">
      <c r="I855" s="36"/>
    </row>
    <row r="856">
      <c r="I856" s="36"/>
    </row>
    <row r="857">
      <c r="I857" s="36"/>
    </row>
    <row r="858">
      <c r="I858" s="36"/>
    </row>
    <row r="859">
      <c r="I859" s="36"/>
    </row>
    <row r="860">
      <c r="I860" s="36"/>
    </row>
    <row r="861">
      <c r="I861" s="36"/>
    </row>
    <row r="862">
      <c r="I862" s="36"/>
    </row>
    <row r="863">
      <c r="I863" s="36"/>
    </row>
    <row r="864">
      <c r="I864" s="36"/>
    </row>
    <row r="865">
      <c r="I865" s="36"/>
    </row>
    <row r="866">
      <c r="I866" s="36"/>
    </row>
    <row r="867">
      <c r="I867" s="36"/>
    </row>
    <row r="868">
      <c r="I868" s="36"/>
    </row>
    <row r="869">
      <c r="I869" s="36"/>
    </row>
    <row r="870">
      <c r="I870" s="36"/>
    </row>
    <row r="871">
      <c r="I871" s="36"/>
    </row>
    <row r="872">
      <c r="I872" s="36"/>
    </row>
    <row r="873">
      <c r="I873" s="36"/>
    </row>
    <row r="874">
      <c r="I874" s="36"/>
    </row>
    <row r="875">
      <c r="I875" s="36"/>
    </row>
    <row r="876">
      <c r="I876" s="36"/>
    </row>
    <row r="877">
      <c r="I877" s="36"/>
    </row>
    <row r="878">
      <c r="I878" s="36"/>
    </row>
    <row r="879">
      <c r="I879" s="36"/>
    </row>
    <row r="880">
      <c r="I880" s="36"/>
    </row>
    <row r="881">
      <c r="I881" s="36"/>
    </row>
    <row r="882">
      <c r="I882" s="36"/>
    </row>
    <row r="883">
      <c r="I883" s="36"/>
    </row>
    <row r="884">
      <c r="I884" s="36"/>
    </row>
    <row r="885">
      <c r="I885" s="36"/>
    </row>
    <row r="886">
      <c r="I886" s="36"/>
    </row>
    <row r="887">
      <c r="I887" s="36"/>
    </row>
    <row r="888">
      <c r="I888" s="36"/>
    </row>
    <row r="889">
      <c r="I889" s="36"/>
    </row>
    <row r="890">
      <c r="I890" s="36"/>
    </row>
    <row r="891">
      <c r="I891" s="36"/>
    </row>
    <row r="892">
      <c r="I892" s="36"/>
    </row>
    <row r="893">
      <c r="I893" s="36"/>
    </row>
    <row r="894">
      <c r="I894" s="36"/>
    </row>
    <row r="895">
      <c r="I895" s="36"/>
    </row>
    <row r="896">
      <c r="I896" s="36"/>
    </row>
    <row r="897">
      <c r="I897" s="36"/>
    </row>
    <row r="898">
      <c r="I898" s="36"/>
    </row>
    <row r="899">
      <c r="I899" s="36"/>
    </row>
    <row r="900">
      <c r="I900" s="36"/>
    </row>
    <row r="901">
      <c r="I901" s="36"/>
    </row>
    <row r="902">
      <c r="I902" s="36"/>
    </row>
    <row r="903">
      <c r="I903" s="36"/>
    </row>
    <row r="904">
      <c r="I904" s="36"/>
    </row>
    <row r="905">
      <c r="I905" s="36"/>
    </row>
    <row r="906">
      <c r="I906" s="36"/>
    </row>
    <row r="907">
      <c r="I907" s="36"/>
    </row>
    <row r="908">
      <c r="I908" s="36"/>
    </row>
    <row r="909">
      <c r="I909" s="36"/>
    </row>
    <row r="910">
      <c r="I910" s="36"/>
    </row>
    <row r="911">
      <c r="I911" s="36"/>
    </row>
    <row r="912">
      <c r="I912" s="36"/>
    </row>
    <row r="913">
      <c r="I913" s="36"/>
    </row>
    <row r="914">
      <c r="I914" s="36"/>
    </row>
    <row r="915">
      <c r="I915" s="36"/>
    </row>
    <row r="916">
      <c r="I916" s="36"/>
    </row>
    <row r="917">
      <c r="I917" s="36"/>
    </row>
    <row r="918">
      <c r="I918" s="36"/>
    </row>
    <row r="919">
      <c r="I919" s="36"/>
    </row>
    <row r="920">
      <c r="I920" s="36"/>
    </row>
    <row r="921">
      <c r="I921" s="36"/>
    </row>
    <row r="922">
      <c r="I922" s="36"/>
    </row>
    <row r="923">
      <c r="I923" s="36"/>
    </row>
    <row r="924">
      <c r="I924" s="36"/>
    </row>
    <row r="925">
      <c r="I925" s="36"/>
    </row>
    <row r="926">
      <c r="I926" s="36"/>
    </row>
    <row r="927">
      <c r="I927" s="36"/>
    </row>
    <row r="928">
      <c r="I928" s="36"/>
    </row>
    <row r="929">
      <c r="I929" s="36"/>
    </row>
    <row r="930">
      <c r="I930" s="36"/>
    </row>
    <row r="931">
      <c r="I931" s="36"/>
    </row>
    <row r="932">
      <c r="I932" s="36"/>
    </row>
    <row r="933">
      <c r="I933" s="36"/>
    </row>
    <row r="934">
      <c r="I934" s="36"/>
    </row>
    <row r="935">
      <c r="I935" s="36"/>
    </row>
    <row r="936">
      <c r="I936" s="36"/>
    </row>
    <row r="937">
      <c r="I937" s="36"/>
    </row>
    <row r="938">
      <c r="I938" s="36"/>
    </row>
    <row r="939">
      <c r="I939" s="36"/>
    </row>
    <row r="940">
      <c r="I940" s="36"/>
    </row>
    <row r="941">
      <c r="I941" s="36"/>
    </row>
    <row r="942">
      <c r="I942" s="36"/>
    </row>
    <row r="943">
      <c r="I943" s="36"/>
    </row>
    <row r="944">
      <c r="I944" s="36"/>
    </row>
    <row r="945">
      <c r="I945" s="36"/>
    </row>
    <row r="946">
      <c r="I946" s="36"/>
    </row>
    <row r="947">
      <c r="I947" s="36"/>
    </row>
    <row r="948">
      <c r="I948" s="36"/>
    </row>
    <row r="949">
      <c r="I949" s="36"/>
    </row>
    <row r="950">
      <c r="I950" s="36"/>
    </row>
    <row r="951">
      <c r="I951" s="36"/>
    </row>
    <row r="952">
      <c r="I952" s="36"/>
    </row>
    <row r="953">
      <c r="I953" s="36"/>
    </row>
    <row r="954">
      <c r="I954" s="36"/>
    </row>
    <row r="955">
      <c r="I955" s="36"/>
    </row>
    <row r="956">
      <c r="I956" s="36"/>
    </row>
    <row r="957">
      <c r="I957" s="36"/>
    </row>
    <row r="958">
      <c r="I958" s="36"/>
    </row>
    <row r="959">
      <c r="I959" s="36"/>
    </row>
    <row r="960">
      <c r="I960" s="36"/>
    </row>
    <row r="961">
      <c r="I961" s="36"/>
    </row>
    <row r="962">
      <c r="I962" s="36"/>
    </row>
    <row r="963">
      <c r="I963" s="36"/>
    </row>
    <row r="964">
      <c r="I964" s="36"/>
    </row>
    <row r="965">
      <c r="I965" s="36"/>
    </row>
    <row r="966">
      <c r="I966" s="36"/>
    </row>
    <row r="967">
      <c r="I967" s="36"/>
    </row>
    <row r="968">
      <c r="I968" s="36"/>
    </row>
    <row r="969">
      <c r="I969" s="36"/>
    </row>
    <row r="970">
      <c r="I970" s="36"/>
    </row>
    <row r="971">
      <c r="I971" s="36"/>
    </row>
    <row r="972">
      <c r="I972" s="36"/>
    </row>
    <row r="973">
      <c r="I973" s="36"/>
    </row>
    <row r="974">
      <c r="I974" s="36"/>
    </row>
    <row r="975">
      <c r="I975" s="36"/>
    </row>
    <row r="976">
      <c r="I976" s="36"/>
    </row>
    <row r="977">
      <c r="I977" s="36"/>
    </row>
    <row r="978">
      <c r="I978" s="36"/>
    </row>
    <row r="979">
      <c r="I979" s="36"/>
    </row>
    <row r="980">
      <c r="I980" s="36"/>
    </row>
    <row r="981">
      <c r="I981" s="36"/>
    </row>
    <row r="982">
      <c r="I982" s="36"/>
    </row>
    <row r="983">
      <c r="I983" s="36"/>
    </row>
    <row r="984">
      <c r="I984" s="36"/>
    </row>
    <row r="985">
      <c r="I985" s="36"/>
    </row>
    <row r="986">
      <c r="I986" s="36"/>
    </row>
    <row r="987">
      <c r="I987" s="36"/>
    </row>
    <row r="988">
      <c r="I988" s="36"/>
    </row>
    <row r="989">
      <c r="I989" s="36"/>
    </row>
    <row r="990">
      <c r="I990" s="36"/>
    </row>
    <row r="991">
      <c r="I991" s="36"/>
    </row>
    <row r="992">
      <c r="I992" s="36"/>
    </row>
    <row r="993">
      <c r="I993" s="36"/>
    </row>
    <row r="994">
      <c r="I994" s="36"/>
    </row>
    <row r="995">
      <c r="I995" s="36"/>
    </row>
  </sheetData>
  <dataValidations>
    <dataValidation type="custom" allowBlank="1" showDropDown="1" sqref="A2:A153">
      <formula1>OR(NOT(ISERROR(DATEVALUE(A2))), AND(ISNUMBER(A2), LEFT(CELL("format", A2))="D"))</formula1>
    </dataValidation>
    <dataValidation type="list" allowBlank="1" showDropDown="1" showErrorMessage="1" sqref="B2:B153">
      <formula1>"Packer Bulls,Packer Cows,Steer/Bull Calves,Heifer Calves"</formula1>
    </dataValidation>
    <dataValidation type="custom" allowBlank="1" showDropDown="1" sqref="E2:F153 H2:I153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3" max="3" width="14.0"/>
  </cols>
  <sheetData>
    <row r="1" ht="22.5" customHeight="1">
      <c r="A1" s="11" t="s">
        <v>113</v>
      </c>
      <c r="B1" s="11" t="s">
        <v>180</v>
      </c>
      <c r="C1" s="11" t="s">
        <v>181</v>
      </c>
      <c r="D1" s="11" t="s">
        <v>172</v>
      </c>
    </row>
    <row r="2" ht="22.5" customHeight="1">
      <c r="A2" s="34">
        <v>46028.0</v>
      </c>
      <c r="B2" s="2">
        <v>667.0</v>
      </c>
    </row>
    <row r="3" ht="22.5" customHeight="1">
      <c r="A3" s="34">
        <v>46035.0</v>
      </c>
      <c r="B3" s="2">
        <v>708.0</v>
      </c>
    </row>
    <row r="4" ht="22.5" customHeight="1">
      <c r="A4" s="34">
        <v>46042.0</v>
      </c>
      <c r="B4" s="2">
        <v>672.0</v>
      </c>
    </row>
    <row r="5" ht="22.5" customHeight="1">
      <c r="A5" s="34">
        <v>46056.0</v>
      </c>
      <c r="B5" s="2">
        <v>695.0</v>
      </c>
    </row>
    <row r="6" ht="22.5" customHeight="1">
      <c r="A6" s="34">
        <v>46063.0</v>
      </c>
      <c r="B6" s="2">
        <v>883.0</v>
      </c>
    </row>
  </sheetData>
  <dataValidations>
    <dataValidation type="custom" allowBlank="1" showDropDown="1" sqref="A2:A6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3" max="3" width="15.5"/>
    <col customWidth="1" min="4" max="4" width="12.88"/>
    <col customWidth="1" min="5" max="5" width="12.75"/>
    <col customWidth="1" min="6" max="6" width="13.13"/>
  </cols>
  <sheetData>
    <row r="1" ht="22.5" customHeight="1">
      <c r="A1" s="11" t="s">
        <v>113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  <c r="G1" s="13" t="s">
        <v>188</v>
      </c>
      <c r="H1" s="13" t="s">
        <v>189</v>
      </c>
      <c r="I1" s="13" t="s">
        <v>190</v>
      </c>
    </row>
    <row r="2" ht="22.5" customHeight="1">
      <c r="A2" s="24">
        <v>46028.0</v>
      </c>
      <c r="B2" s="2" t="s">
        <v>136</v>
      </c>
      <c r="D2" s="2" t="s">
        <v>210</v>
      </c>
      <c r="E2" s="2">
        <v>0.88</v>
      </c>
      <c r="F2" s="2">
        <v>1.34</v>
      </c>
      <c r="G2" s="30">
        <f t="shared" ref="G2:G175" si="1">(E2+F2)/2</f>
        <v>1.11</v>
      </c>
      <c r="H2" s="30">
        <f t="shared" ref="H2:H175" si="2">F2-E2</f>
        <v>0.46</v>
      </c>
      <c r="I2" s="31">
        <f t="shared" ref="I2:I175" si="3">(F2-E2)/G2</f>
        <v>0.4144144144</v>
      </c>
    </row>
    <row r="3" ht="22.5" customHeight="1">
      <c r="A3" s="24">
        <v>46028.0</v>
      </c>
      <c r="B3" s="2" t="s">
        <v>136</v>
      </c>
      <c r="D3" s="2" t="s">
        <v>211</v>
      </c>
      <c r="E3" s="2">
        <v>1.35</v>
      </c>
      <c r="F3" s="2">
        <v>1.49</v>
      </c>
      <c r="G3" s="30">
        <f t="shared" si="1"/>
        <v>1.42</v>
      </c>
      <c r="H3" s="30">
        <f t="shared" si="2"/>
        <v>0.14</v>
      </c>
      <c r="I3" s="31">
        <f t="shared" si="3"/>
        <v>0.0985915493</v>
      </c>
    </row>
    <row r="4" ht="22.5" customHeight="1">
      <c r="A4" s="24">
        <v>46028.0</v>
      </c>
      <c r="B4" s="2" t="s">
        <v>136</v>
      </c>
      <c r="D4" s="2" t="s">
        <v>255</v>
      </c>
      <c r="E4" s="2">
        <v>1.5</v>
      </c>
      <c r="F4" s="2">
        <v>1.63</v>
      </c>
      <c r="G4" s="30">
        <f t="shared" si="1"/>
        <v>1.565</v>
      </c>
      <c r="H4" s="30">
        <f t="shared" si="2"/>
        <v>0.13</v>
      </c>
      <c r="I4" s="31">
        <f t="shared" si="3"/>
        <v>0.08306709265</v>
      </c>
    </row>
    <row r="5" ht="22.5" customHeight="1">
      <c r="A5" s="24">
        <v>46028.0</v>
      </c>
      <c r="B5" s="2" t="s">
        <v>139</v>
      </c>
      <c r="D5" s="2" t="s">
        <v>256</v>
      </c>
      <c r="E5" s="2">
        <v>1.8</v>
      </c>
      <c r="F5" s="2">
        <v>1.85</v>
      </c>
      <c r="G5" s="30">
        <f t="shared" si="1"/>
        <v>1.825</v>
      </c>
      <c r="H5" s="30">
        <f t="shared" si="2"/>
        <v>0.05</v>
      </c>
      <c r="I5" s="31">
        <f t="shared" si="3"/>
        <v>0.02739726027</v>
      </c>
    </row>
    <row r="6" ht="22.5" customHeight="1">
      <c r="A6" s="24">
        <v>46028.0</v>
      </c>
      <c r="B6" s="2" t="s">
        <v>139</v>
      </c>
      <c r="D6" s="2" t="s">
        <v>257</v>
      </c>
      <c r="E6" s="2">
        <v>1.63</v>
      </c>
      <c r="F6" s="2">
        <v>1.79</v>
      </c>
      <c r="G6" s="30">
        <f t="shared" si="1"/>
        <v>1.71</v>
      </c>
      <c r="H6" s="30">
        <f t="shared" si="2"/>
        <v>0.16</v>
      </c>
      <c r="I6" s="31">
        <f t="shared" si="3"/>
        <v>0.09356725146</v>
      </c>
    </row>
    <row r="7" ht="22.5" customHeight="1">
      <c r="A7" s="24">
        <v>46028.0</v>
      </c>
      <c r="B7" s="2" t="s">
        <v>133</v>
      </c>
      <c r="D7" s="2" t="s">
        <v>245</v>
      </c>
      <c r="E7" s="2">
        <v>0.0</v>
      </c>
      <c r="F7" s="2">
        <v>0.0</v>
      </c>
      <c r="G7" s="30">
        <f t="shared" si="1"/>
        <v>0</v>
      </c>
      <c r="H7" s="30">
        <f t="shared" si="2"/>
        <v>0</v>
      </c>
      <c r="I7" s="31" t="str">
        <f t="shared" si="3"/>
        <v>#DIV/0!</v>
      </c>
    </row>
    <row r="8" ht="22.5" customHeight="1">
      <c r="A8" s="24">
        <v>46028.0</v>
      </c>
      <c r="B8" s="2" t="s">
        <v>133</v>
      </c>
      <c r="D8" s="2" t="s">
        <v>149</v>
      </c>
      <c r="E8" s="2">
        <v>1500.0</v>
      </c>
      <c r="F8" s="2">
        <v>3250.0</v>
      </c>
      <c r="G8" s="30">
        <f t="shared" si="1"/>
        <v>2375</v>
      </c>
      <c r="H8" s="30">
        <f t="shared" si="2"/>
        <v>1750</v>
      </c>
      <c r="I8" s="31">
        <f t="shared" si="3"/>
        <v>0.7368421053</v>
      </c>
    </row>
    <row r="9" ht="22.5" customHeight="1">
      <c r="A9" s="24">
        <v>46028.0</v>
      </c>
      <c r="B9" s="2" t="s">
        <v>120</v>
      </c>
      <c r="C9" s="2" t="s">
        <v>258</v>
      </c>
      <c r="D9" s="2" t="s">
        <v>259</v>
      </c>
      <c r="E9" s="2">
        <v>5.7</v>
      </c>
      <c r="F9" s="2">
        <v>7.5</v>
      </c>
      <c r="G9" s="30">
        <f t="shared" si="1"/>
        <v>6.6</v>
      </c>
      <c r="H9" s="30">
        <f t="shared" si="2"/>
        <v>1.8</v>
      </c>
      <c r="I9" s="31">
        <f t="shared" si="3"/>
        <v>0.2727272727</v>
      </c>
    </row>
    <row r="10" ht="22.5" customHeight="1">
      <c r="A10" s="24">
        <v>46028.0</v>
      </c>
      <c r="B10" s="2" t="s">
        <v>120</v>
      </c>
      <c r="C10" s="2" t="s">
        <v>258</v>
      </c>
      <c r="D10" s="2" t="s">
        <v>260</v>
      </c>
      <c r="E10" s="2">
        <v>3.8</v>
      </c>
      <c r="F10" s="2">
        <v>5.4</v>
      </c>
      <c r="G10" s="30">
        <f t="shared" si="1"/>
        <v>4.6</v>
      </c>
      <c r="H10" s="30">
        <f t="shared" si="2"/>
        <v>1.6</v>
      </c>
      <c r="I10" s="31">
        <f t="shared" si="3"/>
        <v>0.347826087</v>
      </c>
    </row>
    <row r="11" ht="22.5" customHeight="1">
      <c r="A11" s="24">
        <v>46028.0</v>
      </c>
      <c r="B11" s="2" t="s">
        <v>120</v>
      </c>
      <c r="C11" s="2" t="s">
        <v>224</v>
      </c>
      <c r="D11" s="2" t="s">
        <v>259</v>
      </c>
      <c r="E11" s="2">
        <v>4.8</v>
      </c>
      <c r="F11" s="2">
        <v>5.9</v>
      </c>
      <c r="G11" s="30">
        <f t="shared" si="1"/>
        <v>5.35</v>
      </c>
      <c r="H11" s="30">
        <f t="shared" si="2"/>
        <v>1.1</v>
      </c>
      <c r="I11" s="31">
        <f t="shared" si="3"/>
        <v>0.2056074766</v>
      </c>
    </row>
    <row r="12" ht="22.5" customHeight="1">
      <c r="A12" s="24">
        <v>46028.0</v>
      </c>
      <c r="B12" s="2" t="s">
        <v>120</v>
      </c>
      <c r="C12" s="2" t="s">
        <v>224</v>
      </c>
      <c r="D12" s="2" t="s">
        <v>260</v>
      </c>
      <c r="E12" s="2">
        <v>3.35</v>
      </c>
      <c r="F12" s="2">
        <v>4.78</v>
      </c>
      <c r="G12" s="30">
        <f t="shared" si="1"/>
        <v>4.065</v>
      </c>
      <c r="H12" s="30">
        <f t="shared" si="2"/>
        <v>1.43</v>
      </c>
      <c r="I12" s="31">
        <f t="shared" si="3"/>
        <v>0.3517835178</v>
      </c>
    </row>
    <row r="13" ht="22.5" customHeight="1">
      <c r="A13" s="24">
        <v>46028.0</v>
      </c>
      <c r="B13" s="2" t="s">
        <v>120</v>
      </c>
      <c r="C13" s="2" t="s">
        <v>225</v>
      </c>
      <c r="D13" s="2" t="s">
        <v>259</v>
      </c>
      <c r="E13" s="2">
        <v>4.4</v>
      </c>
      <c r="F13" s="2">
        <v>5.55</v>
      </c>
      <c r="G13" s="30">
        <f t="shared" si="1"/>
        <v>4.975</v>
      </c>
      <c r="H13" s="30">
        <f t="shared" si="2"/>
        <v>1.15</v>
      </c>
      <c r="I13" s="31">
        <f t="shared" si="3"/>
        <v>0.2311557789</v>
      </c>
    </row>
    <row r="14" ht="22.5" customHeight="1">
      <c r="A14" s="24">
        <v>46028.0</v>
      </c>
      <c r="B14" s="2" t="s">
        <v>120</v>
      </c>
      <c r="C14" s="2" t="s">
        <v>225</v>
      </c>
      <c r="D14" s="2" t="s">
        <v>260</v>
      </c>
      <c r="E14" s="2">
        <v>3.2</v>
      </c>
      <c r="F14" s="2">
        <v>4.38</v>
      </c>
      <c r="G14" s="30">
        <f t="shared" si="1"/>
        <v>3.79</v>
      </c>
      <c r="H14" s="30">
        <f t="shared" si="2"/>
        <v>1.18</v>
      </c>
      <c r="I14" s="31">
        <f t="shared" si="3"/>
        <v>0.3113456464</v>
      </c>
    </row>
    <row r="15" ht="22.5" customHeight="1">
      <c r="A15" s="24">
        <v>46028.0</v>
      </c>
      <c r="B15" s="2" t="s">
        <v>120</v>
      </c>
      <c r="C15" s="2" t="s">
        <v>226</v>
      </c>
      <c r="D15" s="2" t="s">
        <v>259</v>
      </c>
      <c r="E15" s="2">
        <v>3.85</v>
      </c>
      <c r="F15" s="2">
        <v>4.6</v>
      </c>
      <c r="G15" s="30">
        <f t="shared" si="1"/>
        <v>4.225</v>
      </c>
      <c r="H15" s="30">
        <f t="shared" si="2"/>
        <v>0.75</v>
      </c>
      <c r="I15" s="31">
        <f t="shared" si="3"/>
        <v>0.1775147929</v>
      </c>
    </row>
    <row r="16" ht="22.5" customHeight="1">
      <c r="A16" s="24">
        <v>46028.0</v>
      </c>
      <c r="B16" s="2" t="s">
        <v>120</v>
      </c>
      <c r="C16" s="2" t="s">
        <v>226</v>
      </c>
      <c r="D16" s="2" t="s">
        <v>260</v>
      </c>
      <c r="E16" s="2">
        <v>3.1</v>
      </c>
      <c r="F16" s="2">
        <v>3.84</v>
      </c>
      <c r="G16" s="30">
        <f t="shared" si="1"/>
        <v>3.47</v>
      </c>
      <c r="H16" s="30">
        <f t="shared" si="2"/>
        <v>0.74</v>
      </c>
      <c r="I16" s="31">
        <f t="shared" si="3"/>
        <v>0.2132564841</v>
      </c>
    </row>
    <row r="17" ht="22.5" customHeight="1">
      <c r="A17" s="24">
        <v>46028.0</v>
      </c>
      <c r="B17" s="2" t="s">
        <v>120</v>
      </c>
      <c r="C17" s="2" t="s">
        <v>227</v>
      </c>
      <c r="D17" s="2" t="s">
        <v>259</v>
      </c>
      <c r="E17" s="2">
        <v>3.55</v>
      </c>
      <c r="F17" s="2">
        <v>4.0</v>
      </c>
      <c r="G17" s="30">
        <f t="shared" si="1"/>
        <v>3.775</v>
      </c>
      <c r="H17" s="30">
        <f t="shared" si="2"/>
        <v>0.45</v>
      </c>
      <c r="I17" s="31">
        <f t="shared" si="3"/>
        <v>0.119205298</v>
      </c>
    </row>
    <row r="18" ht="22.5" customHeight="1">
      <c r="A18" s="24">
        <v>46028.0</v>
      </c>
      <c r="B18" s="2" t="s">
        <v>120</v>
      </c>
      <c r="C18" s="2" t="s">
        <v>227</v>
      </c>
      <c r="D18" s="2" t="s">
        <v>260</v>
      </c>
      <c r="E18" s="2">
        <v>3.1</v>
      </c>
      <c r="F18" s="2">
        <v>3.54</v>
      </c>
      <c r="G18" s="30">
        <f t="shared" si="1"/>
        <v>3.32</v>
      </c>
      <c r="H18" s="30">
        <f t="shared" si="2"/>
        <v>0.44</v>
      </c>
      <c r="I18" s="31">
        <f t="shared" si="3"/>
        <v>0.1325301205</v>
      </c>
    </row>
    <row r="19" ht="22.5" customHeight="1">
      <c r="A19" s="24">
        <v>46028.0</v>
      </c>
      <c r="B19" s="2" t="s">
        <v>129</v>
      </c>
      <c r="C19" s="2" t="s">
        <v>258</v>
      </c>
      <c r="D19" s="2" t="s">
        <v>259</v>
      </c>
      <c r="E19" s="2">
        <v>5.0</v>
      </c>
      <c r="F19" s="2">
        <v>7.2</v>
      </c>
      <c r="G19" s="30">
        <f t="shared" si="1"/>
        <v>6.1</v>
      </c>
      <c r="H19" s="30">
        <f t="shared" si="2"/>
        <v>2.2</v>
      </c>
      <c r="I19" s="31">
        <f t="shared" si="3"/>
        <v>0.3606557377</v>
      </c>
    </row>
    <row r="20" ht="22.5" customHeight="1">
      <c r="A20" s="24">
        <v>46028.0</v>
      </c>
      <c r="B20" s="2" t="s">
        <v>129</v>
      </c>
      <c r="C20" s="2" t="s">
        <v>258</v>
      </c>
      <c r="D20" s="2" t="s">
        <v>260</v>
      </c>
      <c r="E20" s="2">
        <v>3.8</v>
      </c>
      <c r="F20" s="2">
        <v>4.98</v>
      </c>
      <c r="G20" s="30">
        <f t="shared" si="1"/>
        <v>4.39</v>
      </c>
      <c r="H20" s="30">
        <f t="shared" si="2"/>
        <v>1.18</v>
      </c>
      <c r="I20" s="31">
        <f t="shared" si="3"/>
        <v>0.2687927107</v>
      </c>
    </row>
    <row r="21" ht="22.5" customHeight="1">
      <c r="A21" s="24">
        <v>46028.0</v>
      </c>
      <c r="B21" s="2" t="s">
        <v>129</v>
      </c>
      <c r="C21" s="2" t="s">
        <v>224</v>
      </c>
      <c r="D21" s="2" t="s">
        <v>259</v>
      </c>
      <c r="E21" s="2">
        <v>4.4</v>
      </c>
      <c r="F21" s="2">
        <v>5.45</v>
      </c>
      <c r="G21" s="30">
        <f t="shared" si="1"/>
        <v>4.925</v>
      </c>
      <c r="H21" s="30">
        <f t="shared" si="2"/>
        <v>1.05</v>
      </c>
      <c r="I21" s="31">
        <f t="shared" si="3"/>
        <v>0.2131979695</v>
      </c>
    </row>
    <row r="22" ht="22.5" customHeight="1">
      <c r="A22" s="24">
        <v>46028.0</v>
      </c>
      <c r="B22" s="2" t="s">
        <v>129</v>
      </c>
      <c r="C22" s="2" t="s">
        <v>224</v>
      </c>
      <c r="D22" s="2" t="s">
        <v>260</v>
      </c>
      <c r="E22" s="2">
        <v>3.2</v>
      </c>
      <c r="F22" s="2">
        <v>4.38</v>
      </c>
      <c r="G22" s="30">
        <f t="shared" si="1"/>
        <v>3.79</v>
      </c>
      <c r="H22" s="30">
        <f t="shared" si="2"/>
        <v>1.18</v>
      </c>
      <c r="I22" s="31">
        <f t="shared" si="3"/>
        <v>0.3113456464</v>
      </c>
    </row>
    <row r="23" ht="22.5" customHeight="1">
      <c r="A23" s="24">
        <v>46028.0</v>
      </c>
      <c r="B23" s="2" t="s">
        <v>129</v>
      </c>
      <c r="C23" s="2" t="s">
        <v>225</v>
      </c>
      <c r="D23" s="2" t="s">
        <v>259</v>
      </c>
      <c r="E23" s="2">
        <v>4.3</v>
      </c>
      <c r="F23" s="2">
        <v>4.65</v>
      </c>
      <c r="G23" s="30">
        <f t="shared" si="1"/>
        <v>4.475</v>
      </c>
      <c r="H23" s="30">
        <f t="shared" si="2"/>
        <v>0.35</v>
      </c>
      <c r="I23" s="31">
        <f t="shared" si="3"/>
        <v>0.0782122905</v>
      </c>
    </row>
    <row r="24" ht="22.5" customHeight="1">
      <c r="A24" s="24">
        <v>46028.0</v>
      </c>
      <c r="B24" s="2" t="s">
        <v>129</v>
      </c>
      <c r="C24" s="2" t="s">
        <v>225</v>
      </c>
      <c r="D24" s="2" t="s">
        <v>260</v>
      </c>
      <c r="E24" s="2">
        <v>3.2</v>
      </c>
      <c r="F24" s="2">
        <v>4.28</v>
      </c>
      <c r="G24" s="30">
        <f t="shared" si="1"/>
        <v>3.74</v>
      </c>
      <c r="H24" s="30">
        <f t="shared" si="2"/>
        <v>1.08</v>
      </c>
      <c r="I24" s="31">
        <f t="shared" si="3"/>
        <v>0.2887700535</v>
      </c>
    </row>
    <row r="25" ht="22.5" customHeight="1">
      <c r="A25" s="24">
        <v>46028.0</v>
      </c>
      <c r="B25" s="2" t="s">
        <v>129</v>
      </c>
      <c r="C25" s="2" t="s">
        <v>226</v>
      </c>
      <c r="D25" s="2" t="s">
        <v>259</v>
      </c>
      <c r="E25" s="2">
        <v>3.65</v>
      </c>
      <c r="F25" s="2">
        <v>4.45</v>
      </c>
      <c r="G25" s="30">
        <f t="shared" si="1"/>
        <v>4.05</v>
      </c>
      <c r="H25" s="30">
        <f t="shared" si="2"/>
        <v>0.8</v>
      </c>
      <c r="I25" s="31">
        <f t="shared" si="3"/>
        <v>0.1975308642</v>
      </c>
    </row>
    <row r="26" ht="22.5" customHeight="1">
      <c r="A26" s="24">
        <v>46028.0</v>
      </c>
      <c r="B26" s="2" t="s">
        <v>129</v>
      </c>
      <c r="C26" s="2" t="s">
        <v>226</v>
      </c>
      <c r="D26" s="2" t="s">
        <v>260</v>
      </c>
      <c r="E26" s="2">
        <v>3.15</v>
      </c>
      <c r="F26" s="2">
        <v>3.64</v>
      </c>
      <c r="G26" s="30">
        <f t="shared" si="1"/>
        <v>3.395</v>
      </c>
      <c r="H26" s="30">
        <f t="shared" si="2"/>
        <v>0.49</v>
      </c>
      <c r="I26" s="31">
        <f t="shared" si="3"/>
        <v>0.1443298969</v>
      </c>
    </row>
    <row r="27" ht="22.5" customHeight="1">
      <c r="A27" s="24">
        <v>46028.0</v>
      </c>
      <c r="B27" s="2" t="s">
        <v>129</v>
      </c>
      <c r="C27" s="2" t="s">
        <v>227</v>
      </c>
      <c r="D27" s="2" t="s">
        <v>259</v>
      </c>
      <c r="E27" s="2">
        <v>3.25</v>
      </c>
      <c r="F27" s="2">
        <v>3.5</v>
      </c>
      <c r="G27" s="30">
        <f t="shared" si="1"/>
        <v>3.375</v>
      </c>
      <c r="H27" s="30">
        <f t="shared" si="2"/>
        <v>0.25</v>
      </c>
      <c r="I27" s="31">
        <f t="shared" si="3"/>
        <v>0.07407407407</v>
      </c>
    </row>
    <row r="28" ht="22.5" customHeight="1">
      <c r="A28" s="24">
        <v>46028.0</v>
      </c>
      <c r="B28" s="2" t="s">
        <v>129</v>
      </c>
      <c r="C28" s="2" t="s">
        <v>227</v>
      </c>
      <c r="D28" s="2" t="s">
        <v>260</v>
      </c>
      <c r="E28" s="2">
        <v>3.0</v>
      </c>
      <c r="F28" s="2">
        <v>3.24</v>
      </c>
      <c r="G28" s="30">
        <f t="shared" si="1"/>
        <v>3.12</v>
      </c>
      <c r="H28" s="30">
        <f t="shared" si="2"/>
        <v>0.24</v>
      </c>
      <c r="I28" s="31">
        <f t="shared" si="3"/>
        <v>0.07692307692</v>
      </c>
    </row>
    <row r="29" ht="22.5" customHeight="1">
      <c r="A29" s="24">
        <v>46028.0</v>
      </c>
      <c r="B29" s="2" t="s">
        <v>140</v>
      </c>
      <c r="C29" s="2" t="s">
        <v>261</v>
      </c>
      <c r="E29" s="2">
        <v>3.0</v>
      </c>
      <c r="F29" s="2">
        <v>3.48</v>
      </c>
      <c r="G29" s="30">
        <f t="shared" si="1"/>
        <v>3.24</v>
      </c>
      <c r="H29" s="30">
        <f t="shared" si="2"/>
        <v>0.48</v>
      </c>
      <c r="I29" s="31">
        <f t="shared" si="3"/>
        <v>0.1481481481</v>
      </c>
    </row>
    <row r="30" ht="22.5" customHeight="1">
      <c r="A30" s="24">
        <v>46028.0</v>
      </c>
      <c r="B30" s="2" t="s">
        <v>140</v>
      </c>
      <c r="C30" s="2" t="s">
        <v>262</v>
      </c>
      <c r="E30" s="2">
        <v>2.25</v>
      </c>
      <c r="F30" s="2">
        <v>3.15</v>
      </c>
      <c r="G30" s="30">
        <f t="shared" si="1"/>
        <v>2.7</v>
      </c>
      <c r="H30" s="30">
        <f t="shared" si="2"/>
        <v>0.9</v>
      </c>
      <c r="I30" s="31">
        <f t="shared" si="3"/>
        <v>0.3333333333</v>
      </c>
    </row>
    <row r="31" ht="22.5" customHeight="1">
      <c r="A31" s="32">
        <v>46035.0</v>
      </c>
      <c r="B31" s="21" t="s">
        <v>136</v>
      </c>
      <c r="C31" s="21"/>
      <c r="D31" s="21" t="s">
        <v>210</v>
      </c>
      <c r="E31" s="21">
        <v>0.95</v>
      </c>
      <c r="F31" s="21">
        <v>1.34</v>
      </c>
      <c r="G31" s="30">
        <f t="shared" si="1"/>
        <v>1.145</v>
      </c>
      <c r="H31" s="30">
        <f t="shared" si="2"/>
        <v>0.39</v>
      </c>
      <c r="I31" s="31">
        <f t="shared" si="3"/>
        <v>0.3406113537</v>
      </c>
    </row>
    <row r="32" ht="22.5" customHeight="1">
      <c r="A32" s="32">
        <v>46035.0</v>
      </c>
      <c r="B32" s="21" t="s">
        <v>136</v>
      </c>
      <c r="C32" s="21"/>
      <c r="D32" s="21" t="s">
        <v>211</v>
      </c>
      <c r="E32" s="21">
        <v>1.35</v>
      </c>
      <c r="F32" s="21">
        <v>1.45</v>
      </c>
      <c r="G32" s="30">
        <f t="shared" si="1"/>
        <v>1.4</v>
      </c>
      <c r="H32" s="30">
        <f t="shared" si="2"/>
        <v>0.1</v>
      </c>
      <c r="I32" s="31">
        <f t="shared" si="3"/>
        <v>0.07142857143</v>
      </c>
    </row>
    <row r="33" ht="22.5" customHeight="1">
      <c r="A33" s="32">
        <v>46035.0</v>
      </c>
      <c r="B33" s="21" t="s">
        <v>136</v>
      </c>
      <c r="C33" s="21"/>
      <c r="D33" s="21" t="s">
        <v>255</v>
      </c>
      <c r="E33" s="21">
        <v>1.46</v>
      </c>
      <c r="F33" s="21">
        <v>1.64</v>
      </c>
      <c r="G33" s="30">
        <f t="shared" si="1"/>
        <v>1.55</v>
      </c>
      <c r="H33" s="30">
        <f t="shared" si="2"/>
        <v>0.18</v>
      </c>
      <c r="I33" s="31">
        <f t="shared" si="3"/>
        <v>0.1161290323</v>
      </c>
    </row>
    <row r="34" ht="22.5" customHeight="1">
      <c r="A34" s="32">
        <v>46035.0</v>
      </c>
      <c r="B34" s="21" t="s">
        <v>139</v>
      </c>
      <c r="C34" s="21"/>
      <c r="D34" s="21" t="s">
        <v>256</v>
      </c>
      <c r="E34" s="21">
        <v>1.8</v>
      </c>
      <c r="F34" s="21">
        <v>1.85</v>
      </c>
      <c r="G34" s="30">
        <f t="shared" si="1"/>
        <v>1.825</v>
      </c>
      <c r="H34" s="30">
        <f t="shared" si="2"/>
        <v>0.05</v>
      </c>
      <c r="I34" s="31">
        <f t="shared" si="3"/>
        <v>0.02739726027</v>
      </c>
    </row>
    <row r="35" ht="22.5" customHeight="1">
      <c r="A35" s="32">
        <v>46035.0</v>
      </c>
      <c r="B35" s="21" t="s">
        <v>139</v>
      </c>
      <c r="C35" s="21"/>
      <c r="D35" s="21" t="s">
        <v>257</v>
      </c>
      <c r="E35" s="21">
        <v>1.58</v>
      </c>
      <c r="F35" s="21">
        <v>1.79</v>
      </c>
      <c r="G35" s="30">
        <f t="shared" si="1"/>
        <v>1.685</v>
      </c>
      <c r="H35" s="30">
        <f t="shared" si="2"/>
        <v>0.21</v>
      </c>
      <c r="I35" s="31">
        <f t="shared" si="3"/>
        <v>0.1246290801</v>
      </c>
    </row>
    <row r="36" ht="22.5" customHeight="1">
      <c r="A36" s="32">
        <v>46035.0</v>
      </c>
      <c r="B36" s="21" t="s">
        <v>133</v>
      </c>
      <c r="C36" s="21"/>
      <c r="D36" s="21" t="s">
        <v>245</v>
      </c>
      <c r="E36" s="21">
        <v>4100.0</v>
      </c>
      <c r="F36" s="21">
        <v>4100.0</v>
      </c>
      <c r="G36" s="30">
        <f t="shared" si="1"/>
        <v>4100</v>
      </c>
      <c r="H36" s="30">
        <f t="shared" si="2"/>
        <v>0</v>
      </c>
      <c r="I36" s="31">
        <f t="shared" si="3"/>
        <v>0</v>
      </c>
    </row>
    <row r="37" ht="22.5" customHeight="1">
      <c r="A37" s="32">
        <v>46035.0</v>
      </c>
      <c r="B37" s="21" t="s">
        <v>133</v>
      </c>
      <c r="C37" s="21"/>
      <c r="D37" s="21" t="s">
        <v>149</v>
      </c>
      <c r="E37" s="21">
        <v>1300.0</v>
      </c>
      <c r="F37" s="21">
        <v>3350.0</v>
      </c>
      <c r="G37" s="30">
        <f t="shared" si="1"/>
        <v>2325</v>
      </c>
      <c r="H37" s="30">
        <f t="shared" si="2"/>
        <v>2050</v>
      </c>
      <c r="I37" s="31">
        <f t="shared" si="3"/>
        <v>0.8817204301</v>
      </c>
    </row>
    <row r="38" ht="22.5" customHeight="1">
      <c r="A38" s="32">
        <v>46035.0</v>
      </c>
      <c r="B38" s="21" t="s">
        <v>120</v>
      </c>
      <c r="C38" s="21" t="s">
        <v>258</v>
      </c>
      <c r="D38" s="21" t="s">
        <v>259</v>
      </c>
      <c r="E38" s="21">
        <v>5.5</v>
      </c>
      <c r="F38" s="21">
        <v>7.15</v>
      </c>
      <c r="G38" s="30">
        <f t="shared" si="1"/>
        <v>6.325</v>
      </c>
      <c r="H38" s="30">
        <f t="shared" si="2"/>
        <v>1.65</v>
      </c>
      <c r="I38" s="31">
        <f t="shared" si="3"/>
        <v>0.2608695652</v>
      </c>
    </row>
    <row r="39" ht="22.5" customHeight="1">
      <c r="A39" s="32">
        <v>46035.0</v>
      </c>
      <c r="B39" s="21" t="s">
        <v>120</v>
      </c>
      <c r="C39" s="21" t="s">
        <v>258</v>
      </c>
      <c r="D39" s="21" t="s">
        <v>260</v>
      </c>
      <c r="E39" s="21">
        <v>4.2</v>
      </c>
      <c r="F39" s="21">
        <v>5.48</v>
      </c>
      <c r="G39" s="30">
        <f t="shared" si="1"/>
        <v>4.84</v>
      </c>
      <c r="H39" s="30">
        <f t="shared" si="2"/>
        <v>1.28</v>
      </c>
      <c r="I39" s="31">
        <f t="shared" si="3"/>
        <v>0.2644628099</v>
      </c>
    </row>
    <row r="40" ht="22.5" customHeight="1">
      <c r="A40" s="32">
        <v>46035.0</v>
      </c>
      <c r="B40" s="21" t="s">
        <v>120</v>
      </c>
      <c r="C40" s="21" t="s">
        <v>224</v>
      </c>
      <c r="D40" s="21" t="s">
        <v>259</v>
      </c>
      <c r="E40" s="21">
        <v>5.0</v>
      </c>
      <c r="F40" s="21">
        <v>6.4</v>
      </c>
      <c r="G40" s="30">
        <f t="shared" si="1"/>
        <v>5.7</v>
      </c>
      <c r="H40" s="30">
        <f t="shared" si="2"/>
        <v>1.4</v>
      </c>
      <c r="I40" s="31">
        <f t="shared" si="3"/>
        <v>0.2456140351</v>
      </c>
    </row>
    <row r="41" ht="22.5" customHeight="1">
      <c r="A41" s="32">
        <v>46035.0</v>
      </c>
      <c r="B41" s="21" t="s">
        <v>120</v>
      </c>
      <c r="C41" s="21" t="s">
        <v>224</v>
      </c>
      <c r="D41" s="21" t="s">
        <v>260</v>
      </c>
      <c r="E41" s="21">
        <v>4.0</v>
      </c>
      <c r="F41" s="21">
        <v>4.98</v>
      </c>
      <c r="G41" s="30">
        <f t="shared" si="1"/>
        <v>4.49</v>
      </c>
      <c r="H41" s="30">
        <f t="shared" si="2"/>
        <v>0.98</v>
      </c>
      <c r="I41" s="31">
        <f t="shared" si="3"/>
        <v>0.2182628062</v>
      </c>
    </row>
    <row r="42" ht="22.5" customHeight="1">
      <c r="A42" s="32">
        <v>46035.0</v>
      </c>
      <c r="B42" s="21" t="s">
        <v>120</v>
      </c>
      <c r="C42" s="21" t="s">
        <v>225</v>
      </c>
      <c r="D42" s="21" t="s">
        <v>259</v>
      </c>
      <c r="E42" s="21">
        <v>4.6</v>
      </c>
      <c r="F42" s="21">
        <v>5.45</v>
      </c>
      <c r="G42" s="30">
        <f t="shared" si="1"/>
        <v>5.025</v>
      </c>
      <c r="H42" s="30">
        <f t="shared" si="2"/>
        <v>0.85</v>
      </c>
      <c r="I42" s="31">
        <f t="shared" si="3"/>
        <v>0.1691542289</v>
      </c>
    </row>
    <row r="43" ht="22.5" customHeight="1">
      <c r="A43" s="32">
        <v>46035.0</v>
      </c>
      <c r="B43" s="21" t="s">
        <v>120</v>
      </c>
      <c r="C43" s="21" t="s">
        <v>225</v>
      </c>
      <c r="D43" s="21" t="s">
        <v>260</v>
      </c>
      <c r="E43" s="21">
        <v>3.2</v>
      </c>
      <c r="F43" s="21">
        <v>4.58</v>
      </c>
      <c r="G43" s="30">
        <f t="shared" si="1"/>
        <v>3.89</v>
      </c>
      <c r="H43" s="30">
        <f t="shared" si="2"/>
        <v>1.38</v>
      </c>
      <c r="I43" s="31">
        <f t="shared" si="3"/>
        <v>0.3547557841</v>
      </c>
    </row>
    <row r="44" ht="22.5" customHeight="1">
      <c r="A44" s="32">
        <v>46035.0</v>
      </c>
      <c r="B44" s="21" t="s">
        <v>120</v>
      </c>
      <c r="C44" s="21" t="s">
        <v>226</v>
      </c>
      <c r="D44" s="21" t="s">
        <v>259</v>
      </c>
      <c r="E44" s="21">
        <v>3.85</v>
      </c>
      <c r="F44" s="21">
        <v>4.8</v>
      </c>
      <c r="G44" s="30">
        <f t="shared" si="1"/>
        <v>4.325</v>
      </c>
      <c r="H44" s="30">
        <f t="shared" si="2"/>
        <v>0.95</v>
      </c>
      <c r="I44" s="31">
        <f t="shared" si="3"/>
        <v>0.2196531792</v>
      </c>
    </row>
    <row r="45" ht="22.5" customHeight="1">
      <c r="A45" s="32">
        <v>46035.0</v>
      </c>
      <c r="B45" s="21" t="s">
        <v>120</v>
      </c>
      <c r="C45" s="21" t="s">
        <v>226</v>
      </c>
      <c r="D45" s="21" t="s">
        <v>260</v>
      </c>
      <c r="E45" s="21">
        <v>3.12</v>
      </c>
      <c r="F45" s="21">
        <v>3.84</v>
      </c>
      <c r="G45" s="30">
        <f t="shared" si="1"/>
        <v>3.48</v>
      </c>
      <c r="H45" s="30">
        <f t="shared" si="2"/>
        <v>0.72</v>
      </c>
      <c r="I45" s="31">
        <f t="shared" si="3"/>
        <v>0.2068965517</v>
      </c>
    </row>
    <row r="46" ht="22.5" customHeight="1">
      <c r="A46" s="32">
        <v>46035.0</v>
      </c>
      <c r="B46" s="21" t="s">
        <v>120</v>
      </c>
      <c r="C46" s="21" t="s">
        <v>227</v>
      </c>
      <c r="D46" s="21" t="s">
        <v>259</v>
      </c>
      <c r="E46" s="21">
        <v>3.65</v>
      </c>
      <c r="F46" s="21">
        <v>4.4</v>
      </c>
      <c r="G46" s="30">
        <f t="shared" si="1"/>
        <v>4.025</v>
      </c>
      <c r="H46" s="30">
        <f t="shared" si="2"/>
        <v>0.75</v>
      </c>
      <c r="I46" s="31">
        <f t="shared" si="3"/>
        <v>0.1863354037</v>
      </c>
    </row>
    <row r="47" ht="22.5" customHeight="1">
      <c r="A47" s="32">
        <v>46035.0</v>
      </c>
      <c r="B47" s="21" t="s">
        <v>120</v>
      </c>
      <c r="C47" s="21" t="s">
        <v>227</v>
      </c>
      <c r="D47" s="21" t="s">
        <v>260</v>
      </c>
      <c r="E47" s="21">
        <v>3.0</v>
      </c>
      <c r="F47" s="21">
        <v>3.64</v>
      </c>
      <c r="G47" s="30">
        <f t="shared" si="1"/>
        <v>3.32</v>
      </c>
      <c r="H47" s="30">
        <f t="shared" si="2"/>
        <v>0.64</v>
      </c>
      <c r="I47" s="31">
        <f t="shared" si="3"/>
        <v>0.1927710843</v>
      </c>
    </row>
    <row r="48" ht="22.5" customHeight="1">
      <c r="A48" s="32">
        <v>46035.0</v>
      </c>
      <c r="B48" s="21" t="s">
        <v>129</v>
      </c>
      <c r="C48" s="21" t="s">
        <v>258</v>
      </c>
      <c r="D48" s="21" t="s">
        <v>259</v>
      </c>
      <c r="E48" s="21">
        <v>5.0</v>
      </c>
      <c r="F48" s="21">
        <v>6.45</v>
      </c>
      <c r="G48" s="30">
        <f t="shared" si="1"/>
        <v>5.725</v>
      </c>
      <c r="H48" s="30">
        <f t="shared" si="2"/>
        <v>1.45</v>
      </c>
      <c r="I48" s="31">
        <f t="shared" si="3"/>
        <v>0.2532751092</v>
      </c>
    </row>
    <row r="49" ht="22.5" customHeight="1">
      <c r="A49" s="32">
        <v>46035.0</v>
      </c>
      <c r="B49" s="21" t="s">
        <v>129</v>
      </c>
      <c r="C49" s="21" t="s">
        <v>258</v>
      </c>
      <c r="D49" s="21" t="s">
        <v>260</v>
      </c>
      <c r="E49" s="21">
        <v>3.8</v>
      </c>
      <c r="F49" s="21">
        <v>4.98</v>
      </c>
      <c r="G49" s="30">
        <f t="shared" si="1"/>
        <v>4.39</v>
      </c>
      <c r="H49" s="30">
        <f t="shared" si="2"/>
        <v>1.18</v>
      </c>
      <c r="I49" s="31">
        <f t="shared" si="3"/>
        <v>0.2687927107</v>
      </c>
    </row>
    <row r="50" ht="22.5" customHeight="1">
      <c r="A50" s="32">
        <v>46035.0</v>
      </c>
      <c r="B50" s="21" t="s">
        <v>129</v>
      </c>
      <c r="C50" s="21" t="s">
        <v>224</v>
      </c>
      <c r="D50" s="21" t="s">
        <v>259</v>
      </c>
      <c r="E50" s="21">
        <v>4.6</v>
      </c>
      <c r="F50" s="21">
        <v>5.5</v>
      </c>
      <c r="G50" s="30">
        <f t="shared" si="1"/>
        <v>5.05</v>
      </c>
      <c r="H50" s="30">
        <f t="shared" si="2"/>
        <v>0.9</v>
      </c>
      <c r="I50" s="31">
        <f t="shared" si="3"/>
        <v>0.1782178218</v>
      </c>
    </row>
    <row r="51" ht="22.5" customHeight="1">
      <c r="A51" s="32">
        <v>46035.0</v>
      </c>
      <c r="B51" s="21" t="s">
        <v>129</v>
      </c>
      <c r="C51" s="21" t="s">
        <v>224</v>
      </c>
      <c r="D51" s="21" t="s">
        <v>260</v>
      </c>
      <c r="E51" s="21">
        <v>3.4</v>
      </c>
      <c r="F51" s="21">
        <v>4.58</v>
      </c>
      <c r="G51" s="30">
        <f t="shared" si="1"/>
        <v>3.99</v>
      </c>
      <c r="H51" s="30">
        <f t="shared" si="2"/>
        <v>1.18</v>
      </c>
      <c r="I51" s="31">
        <f t="shared" si="3"/>
        <v>0.2957393484</v>
      </c>
    </row>
    <row r="52" ht="22.5" customHeight="1">
      <c r="A52" s="32">
        <v>46035.0</v>
      </c>
      <c r="B52" s="21" t="s">
        <v>129</v>
      </c>
      <c r="C52" s="21" t="s">
        <v>225</v>
      </c>
      <c r="D52" s="21" t="s">
        <v>259</v>
      </c>
      <c r="E52" s="21">
        <v>4.2</v>
      </c>
      <c r="F52" s="21">
        <v>5.4</v>
      </c>
      <c r="G52" s="30">
        <f t="shared" si="1"/>
        <v>4.8</v>
      </c>
      <c r="H52" s="30">
        <f t="shared" si="2"/>
        <v>1.2</v>
      </c>
      <c r="I52" s="31">
        <f t="shared" si="3"/>
        <v>0.25</v>
      </c>
    </row>
    <row r="53" ht="22.5" customHeight="1">
      <c r="A53" s="32">
        <v>46035.0</v>
      </c>
      <c r="B53" s="21" t="s">
        <v>129</v>
      </c>
      <c r="C53" s="21" t="s">
        <v>225</v>
      </c>
      <c r="D53" s="21" t="s">
        <v>260</v>
      </c>
      <c r="E53" s="21">
        <v>3.1</v>
      </c>
      <c r="F53" s="21">
        <v>4.18</v>
      </c>
      <c r="G53" s="30">
        <f t="shared" si="1"/>
        <v>3.64</v>
      </c>
      <c r="H53" s="30">
        <f t="shared" si="2"/>
        <v>1.08</v>
      </c>
      <c r="I53" s="31">
        <f t="shared" si="3"/>
        <v>0.2967032967</v>
      </c>
    </row>
    <row r="54" ht="22.5" customHeight="1">
      <c r="A54" s="32">
        <v>46035.0</v>
      </c>
      <c r="B54" s="21" t="s">
        <v>129</v>
      </c>
      <c r="C54" s="21" t="s">
        <v>226</v>
      </c>
      <c r="D54" s="21" t="s">
        <v>259</v>
      </c>
      <c r="E54" s="21">
        <v>3.65</v>
      </c>
      <c r="F54" s="21">
        <v>4.45</v>
      </c>
      <c r="G54" s="30">
        <f t="shared" si="1"/>
        <v>4.05</v>
      </c>
      <c r="H54" s="30">
        <f t="shared" si="2"/>
        <v>0.8</v>
      </c>
      <c r="I54" s="31">
        <f t="shared" si="3"/>
        <v>0.1975308642</v>
      </c>
    </row>
    <row r="55" ht="22.5" customHeight="1">
      <c r="A55" s="32">
        <v>46035.0</v>
      </c>
      <c r="B55" s="21" t="s">
        <v>129</v>
      </c>
      <c r="C55" s="21" t="s">
        <v>226</v>
      </c>
      <c r="D55" s="21" t="s">
        <v>260</v>
      </c>
      <c r="E55" s="21">
        <v>3.1</v>
      </c>
      <c r="F55" s="21">
        <v>3.64</v>
      </c>
      <c r="G55" s="30">
        <f t="shared" si="1"/>
        <v>3.37</v>
      </c>
      <c r="H55" s="30">
        <f t="shared" si="2"/>
        <v>0.54</v>
      </c>
      <c r="I55" s="31">
        <f t="shared" si="3"/>
        <v>0.1602373887</v>
      </c>
    </row>
    <row r="56" ht="22.5" customHeight="1">
      <c r="A56" s="32">
        <v>46035.0</v>
      </c>
      <c r="B56" s="21" t="s">
        <v>129</v>
      </c>
      <c r="C56" s="21" t="s">
        <v>227</v>
      </c>
      <c r="D56" s="21" t="s">
        <v>259</v>
      </c>
      <c r="E56" s="21">
        <v>3.4</v>
      </c>
      <c r="F56" s="21">
        <v>3.85</v>
      </c>
      <c r="G56" s="30">
        <f t="shared" si="1"/>
        <v>3.625</v>
      </c>
      <c r="H56" s="30">
        <f t="shared" si="2"/>
        <v>0.45</v>
      </c>
      <c r="I56" s="31">
        <f t="shared" si="3"/>
        <v>0.124137931</v>
      </c>
    </row>
    <row r="57" ht="22.5" customHeight="1">
      <c r="A57" s="32">
        <v>46035.0</v>
      </c>
      <c r="B57" s="21" t="s">
        <v>129</v>
      </c>
      <c r="C57" s="21" t="s">
        <v>227</v>
      </c>
      <c r="D57" s="21" t="s">
        <v>260</v>
      </c>
      <c r="E57" s="21">
        <v>2.8</v>
      </c>
      <c r="F57" s="21">
        <v>3.38</v>
      </c>
      <c r="G57" s="30">
        <f t="shared" si="1"/>
        <v>3.09</v>
      </c>
      <c r="H57" s="30">
        <f t="shared" si="2"/>
        <v>0.58</v>
      </c>
      <c r="I57" s="31">
        <f t="shared" si="3"/>
        <v>0.1877022654</v>
      </c>
    </row>
    <row r="58" ht="22.5" customHeight="1">
      <c r="A58" s="32">
        <v>46035.0</v>
      </c>
      <c r="B58" s="21" t="s">
        <v>140</v>
      </c>
      <c r="C58" s="21" t="s">
        <v>261</v>
      </c>
      <c r="D58" s="18"/>
      <c r="E58" s="21">
        <v>2.6</v>
      </c>
      <c r="F58" s="21">
        <v>3.42</v>
      </c>
      <c r="G58" s="30">
        <f t="shared" si="1"/>
        <v>3.01</v>
      </c>
      <c r="H58" s="30">
        <f t="shared" si="2"/>
        <v>0.82</v>
      </c>
      <c r="I58" s="31">
        <f t="shared" si="3"/>
        <v>0.2724252492</v>
      </c>
    </row>
    <row r="59" ht="22.5" customHeight="1">
      <c r="A59" s="32">
        <v>46035.0</v>
      </c>
      <c r="B59" s="21" t="s">
        <v>140</v>
      </c>
      <c r="C59" s="21" t="s">
        <v>262</v>
      </c>
      <c r="D59" s="18"/>
      <c r="E59" s="21">
        <v>2.3</v>
      </c>
      <c r="F59" s="21">
        <v>3.15</v>
      </c>
      <c r="G59" s="30">
        <f t="shared" si="1"/>
        <v>2.725</v>
      </c>
      <c r="H59" s="30">
        <f t="shared" si="2"/>
        <v>0.85</v>
      </c>
      <c r="I59" s="31">
        <f t="shared" si="3"/>
        <v>0.3119266055</v>
      </c>
    </row>
    <row r="60" ht="22.5" customHeight="1">
      <c r="A60" s="32">
        <v>46042.0</v>
      </c>
      <c r="B60" s="21" t="s">
        <v>136</v>
      </c>
      <c r="C60" s="21"/>
      <c r="D60" s="21" t="s">
        <v>210</v>
      </c>
      <c r="E60" s="21">
        <v>0.92</v>
      </c>
      <c r="F60" s="21">
        <v>1.39</v>
      </c>
      <c r="G60" s="30">
        <f t="shared" si="1"/>
        <v>1.155</v>
      </c>
      <c r="H60" s="30">
        <f t="shared" si="2"/>
        <v>0.47</v>
      </c>
      <c r="I60" s="31">
        <f t="shared" si="3"/>
        <v>0.4069264069</v>
      </c>
    </row>
    <row r="61" ht="22.5" customHeight="1">
      <c r="A61" s="32">
        <v>46042.0</v>
      </c>
      <c r="B61" s="21" t="s">
        <v>136</v>
      </c>
      <c r="C61" s="21"/>
      <c r="D61" s="21" t="s">
        <v>211</v>
      </c>
      <c r="E61" s="21">
        <v>1.4</v>
      </c>
      <c r="F61" s="21">
        <v>1.49</v>
      </c>
      <c r="G61" s="30">
        <f t="shared" si="1"/>
        <v>1.445</v>
      </c>
      <c r="H61" s="30">
        <f t="shared" si="2"/>
        <v>0.09</v>
      </c>
      <c r="I61" s="31">
        <f t="shared" si="3"/>
        <v>0.06228373702</v>
      </c>
    </row>
    <row r="62" ht="22.5" customHeight="1">
      <c r="A62" s="32">
        <v>46042.0</v>
      </c>
      <c r="B62" s="21" t="s">
        <v>136</v>
      </c>
      <c r="C62" s="21"/>
      <c r="D62" s="21" t="s">
        <v>255</v>
      </c>
      <c r="E62" s="21">
        <v>1.5</v>
      </c>
      <c r="F62" s="21">
        <v>1.66</v>
      </c>
      <c r="G62" s="30">
        <f t="shared" si="1"/>
        <v>1.58</v>
      </c>
      <c r="H62" s="30">
        <f t="shared" si="2"/>
        <v>0.16</v>
      </c>
      <c r="I62" s="31">
        <f t="shared" si="3"/>
        <v>0.1012658228</v>
      </c>
    </row>
    <row r="63" ht="22.5" customHeight="1">
      <c r="A63" s="32">
        <v>46042.0</v>
      </c>
      <c r="B63" s="21" t="s">
        <v>139</v>
      </c>
      <c r="C63" s="21"/>
      <c r="D63" s="21" t="s">
        <v>256</v>
      </c>
      <c r="E63" s="21">
        <v>1.77</v>
      </c>
      <c r="F63" s="21">
        <v>1.84</v>
      </c>
      <c r="G63" s="30">
        <f t="shared" si="1"/>
        <v>1.805</v>
      </c>
      <c r="H63" s="30">
        <f t="shared" si="2"/>
        <v>0.07</v>
      </c>
      <c r="I63" s="31">
        <f t="shared" si="3"/>
        <v>0.03878116343</v>
      </c>
    </row>
    <row r="64" ht="22.5" customHeight="1">
      <c r="A64" s="32">
        <v>46042.0</v>
      </c>
      <c r="B64" s="21" t="s">
        <v>139</v>
      </c>
      <c r="C64" s="21"/>
      <c r="D64" s="21" t="s">
        <v>257</v>
      </c>
      <c r="E64" s="21">
        <v>1.55</v>
      </c>
      <c r="F64" s="21">
        <v>1.76</v>
      </c>
      <c r="G64" s="30">
        <f t="shared" si="1"/>
        <v>1.655</v>
      </c>
      <c r="H64" s="30">
        <f t="shared" si="2"/>
        <v>0.21</v>
      </c>
      <c r="I64" s="31">
        <f t="shared" si="3"/>
        <v>0.1268882175</v>
      </c>
    </row>
    <row r="65" ht="22.5" customHeight="1">
      <c r="A65" s="32">
        <v>46042.0</v>
      </c>
      <c r="B65" s="21" t="s">
        <v>133</v>
      </c>
      <c r="C65" s="21"/>
      <c r="D65" s="21" t="s">
        <v>245</v>
      </c>
      <c r="E65" s="21">
        <v>3250.0</v>
      </c>
      <c r="F65" s="21">
        <v>5000.0</v>
      </c>
      <c r="G65" s="30">
        <f t="shared" si="1"/>
        <v>4125</v>
      </c>
      <c r="H65" s="30">
        <f t="shared" si="2"/>
        <v>1750</v>
      </c>
      <c r="I65" s="31">
        <f t="shared" si="3"/>
        <v>0.4242424242</v>
      </c>
    </row>
    <row r="66" ht="22.5" customHeight="1">
      <c r="A66" s="32">
        <v>46042.0</v>
      </c>
      <c r="B66" s="21" t="s">
        <v>133</v>
      </c>
      <c r="C66" s="21"/>
      <c r="D66" s="21" t="s">
        <v>149</v>
      </c>
      <c r="E66" s="21">
        <v>1350.0</v>
      </c>
      <c r="F66" s="21">
        <v>3000.0</v>
      </c>
      <c r="G66" s="30">
        <f t="shared" si="1"/>
        <v>2175</v>
      </c>
      <c r="H66" s="30">
        <f t="shared" si="2"/>
        <v>1650</v>
      </c>
      <c r="I66" s="31">
        <f t="shared" si="3"/>
        <v>0.7586206897</v>
      </c>
    </row>
    <row r="67" ht="22.5" customHeight="1">
      <c r="A67" s="32">
        <v>46042.0</v>
      </c>
      <c r="B67" s="21" t="s">
        <v>120</v>
      </c>
      <c r="C67" s="21" t="s">
        <v>258</v>
      </c>
      <c r="D67" s="21" t="s">
        <v>259</v>
      </c>
      <c r="E67" s="21">
        <v>5.4</v>
      </c>
      <c r="F67" s="21">
        <v>7.5</v>
      </c>
      <c r="G67" s="30">
        <f t="shared" si="1"/>
        <v>6.45</v>
      </c>
      <c r="H67" s="30">
        <f t="shared" si="2"/>
        <v>2.1</v>
      </c>
      <c r="I67" s="31">
        <f t="shared" si="3"/>
        <v>0.3255813953</v>
      </c>
    </row>
    <row r="68" ht="22.5" customHeight="1">
      <c r="A68" s="32">
        <v>46042.0</v>
      </c>
      <c r="B68" s="21" t="s">
        <v>120</v>
      </c>
      <c r="C68" s="21" t="s">
        <v>258</v>
      </c>
      <c r="D68" s="21" t="s">
        <v>260</v>
      </c>
      <c r="E68" s="21">
        <v>3.6</v>
      </c>
      <c r="F68" s="21">
        <v>5.35</v>
      </c>
      <c r="G68" s="30">
        <f t="shared" si="1"/>
        <v>4.475</v>
      </c>
      <c r="H68" s="30">
        <f t="shared" si="2"/>
        <v>1.75</v>
      </c>
      <c r="I68" s="31">
        <f t="shared" si="3"/>
        <v>0.3910614525</v>
      </c>
    </row>
    <row r="69" ht="22.5" customHeight="1">
      <c r="A69" s="32">
        <v>46042.0</v>
      </c>
      <c r="B69" s="21" t="s">
        <v>120</v>
      </c>
      <c r="C69" s="21" t="s">
        <v>224</v>
      </c>
      <c r="D69" s="21" t="s">
        <v>259</v>
      </c>
      <c r="E69" s="21">
        <v>4.85</v>
      </c>
      <c r="F69" s="21">
        <v>5.9</v>
      </c>
      <c r="G69" s="30">
        <f t="shared" si="1"/>
        <v>5.375</v>
      </c>
      <c r="H69" s="30">
        <f t="shared" si="2"/>
        <v>1.05</v>
      </c>
      <c r="I69" s="31">
        <f t="shared" si="3"/>
        <v>0.1953488372</v>
      </c>
    </row>
    <row r="70" ht="22.5" customHeight="1">
      <c r="A70" s="32">
        <v>46042.0</v>
      </c>
      <c r="B70" s="21" t="s">
        <v>120</v>
      </c>
      <c r="C70" s="21" t="s">
        <v>224</v>
      </c>
      <c r="D70" s="21" t="s">
        <v>260</v>
      </c>
      <c r="E70" s="21">
        <v>3.35</v>
      </c>
      <c r="F70" s="21">
        <v>4.84</v>
      </c>
      <c r="G70" s="30">
        <f t="shared" si="1"/>
        <v>4.095</v>
      </c>
      <c r="H70" s="30">
        <f t="shared" si="2"/>
        <v>1.49</v>
      </c>
      <c r="I70" s="31">
        <f t="shared" si="3"/>
        <v>0.3638583639</v>
      </c>
    </row>
    <row r="71" ht="22.5" customHeight="1">
      <c r="A71" s="32">
        <v>46042.0</v>
      </c>
      <c r="B71" s="21" t="s">
        <v>120</v>
      </c>
      <c r="C71" s="21" t="s">
        <v>225</v>
      </c>
      <c r="D71" s="21" t="s">
        <v>259</v>
      </c>
      <c r="E71" s="21">
        <v>4.6</v>
      </c>
      <c r="F71" s="21">
        <v>5.3</v>
      </c>
      <c r="G71" s="30">
        <f t="shared" si="1"/>
        <v>4.95</v>
      </c>
      <c r="H71" s="30">
        <f t="shared" si="2"/>
        <v>0.7</v>
      </c>
      <c r="I71" s="31">
        <f t="shared" si="3"/>
        <v>0.1414141414</v>
      </c>
    </row>
    <row r="72" ht="22.5" customHeight="1">
      <c r="A72" s="32">
        <v>46042.0</v>
      </c>
      <c r="B72" s="21" t="s">
        <v>120</v>
      </c>
      <c r="C72" s="21" t="s">
        <v>225</v>
      </c>
      <c r="D72" s="21" t="s">
        <v>260</v>
      </c>
      <c r="E72" s="21">
        <v>3.3</v>
      </c>
      <c r="F72" s="21">
        <v>4.58</v>
      </c>
      <c r="G72" s="30">
        <f t="shared" si="1"/>
        <v>3.94</v>
      </c>
      <c r="H72" s="30">
        <f t="shared" si="2"/>
        <v>1.28</v>
      </c>
      <c r="I72" s="31">
        <f t="shared" si="3"/>
        <v>0.3248730964</v>
      </c>
    </row>
    <row r="73" ht="22.5" customHeight="1">
      <c r="A73" s="32">
        <v>46042.0</v>
      </c>
      <c r="B73" s="21" t="s">
        <v>120</v>
      </c>
      <c r="C73" s="21" t="s">
        <v>226</v>
      </c>
      <c r="D73" s="21" t="s">
        <v>259</v>
      </c>
      <c r="E73" s="21">
        <v>4.0</v>
      </c>
      <c r="F73" s="21">
        <v>4.85</v>
      </c>
      <c r="G73" s="30">
        <f t="shared" si="1"/>
        <v>4.425</v>
      </c>
      <c r="H73" s="30">
        <f t="shared" si="2"/>
        <v>0.85</v>
      </c>
      <c r="I73" s="31">
        <f t="shared" si="3"/>
        <v>0.1920903955</v>
      </c>
    </row>
    <row r="74" ht="22.5" customHeight="1">
      <c r="A74" s="32">
        <v>46042.0</v>
      </c>
      <c r="B74" s="21" t="s">
        <v>120</v>
      </c>
      <c r="C74" s="21" t="s">
        <v>226</v>
      </c>
      <c r="D74" s="21" t="s">
        <v>260</v>
      </c>
      <c r="E74" s="21">
        <v>3.1</v>
      </c>
      <c r="F74" s="21">
        <v>3.98</v>
      </c>
      <c r="G74" s="30">
        <f t="shared" si="1"/>
        <v>3.54</v>
      </c>
      <c r="H74" s="30">
        <f t="shared" si="2"/>
        <v>0.88</v>
      </c>
      <c r="I74" s="31">
        <f t="shared" si="3"/>
        <v>0.2485875706</v>
      </c>
    </row>
    <row r="75" ht="22.5" customHeight="1">
      <c r="A75" s="32">
        <v>46042.0</v>
      </c>
      <c r="B75" s="21" t="s">
        <v>120</v>
      </c>
      <c r="C75" s="21" t="s">
        <v>227</v>
      </c>
      <c r="D75" s="21" t="s">
        <v>259</v>
      </c>
      <c r="E75" s="21">
        <v>3.6</v>
      </c>
      <c r="F75" s="21">
        <v>4.35</v>
      </c>
      <c r="G75" s="30">
        <f t="shared" si="1"/>
        <v>3.975</v>
      </c>
      <c r="H75" s="30">
        <f t="shared" si="2"/>
        <v>0.75</v>
      </c>
      <c r="I75" s="31">
        <f t="shared" si="3"/>
        <v>0.1886792453</v>
      </c>
    </row>
    <row r="76" ht="22.5" customHeight="1">
      <c r="A76" s="32">
        <v>46042.0</v>
      </c>
      <c r="B76" s="21" t="s">
        <v>120</v>
      </c>
      <c r="C76" s="21" t="s">
        <v>227</v>
      </c>
      <c r="D76" s="21" t="s">
        <v>260</v>
      </c>
      <c r="E76" s="21">
        <v>3.0</v>
      </c>
      <c r="F76" s="21">
        <v>3.58</v>
      </c>
      <c r="G76" s="30">
        <f t="shared" si="1"/>
        <v>3.29</v>
      </c>
      <c r="H76" s="30">
        <f t="shared" si="2"/>
        <v>0.58</v>
      </c>
      <c r="I76" s="31">
        <f t="shared" si="3"/>
        <v>0.1762917933</v>
      </c>
    </row>
    <row r="77" ht="22.5" customHeight="1">
      <c r="A77" s="32">
        <v>46042.0</v>
      </c>
      <c r="B77" s="21" t="s">
        <v>129</v>
      </c>
      <c r="C77" s="21" t="s">
        <v>258</v>
      </c>
      <c r="D77" s="21" t="s">
        <v>259</v>
      </c>
      <c r="E77" s="21">
        <v>4.6</v>
      </c>
      <c r="F77" s="21">
        <v>7.2</v>
      </c>
      <c r="G77" s="30">
        <f t="shared" si="1"/>
        <v>5.9</v>
      </c>
      <c r="H77" s="30">
        <f t="shared" si="2"/>
        <v>2.6</v>
      </c>
      <c r="I77" s="31">
        <f t="shared" si="3"/>
        <v>0.4406779661</v>
      </c>
    </row>
    <row r="78" ht="22.5" customHeight="1">
      <c r="A78" s="32">
        <v>46042.0</v>
      </c>
      <c r="B78" s="21" t="s">
        <v>129</v>
      </c>
      <c r="C78" s="21" t="s">
        <v>258</v>
      </c>
      <c r="D78" s="21" t="s">
        <v>260</v>
      </c>
      <c r="E78" s="21">
        <v>3.5</v>
      </c>
      <c r="F78" s="21">
        <v>4.58</v>
      </c>
      <c r="G78" s="30">
        <f t="shared" si="1"/>
        <v>4.04</v>
      </c>
      <c r="H78" s="30">
        <f t="shared" si="2"/>
        <v>1.08</v>
      </c>
      <c r="I78" s="31">
        <f t="shared" si="3"/>
        <v>0.2673267327</v>
      </c>
    </row>
    <row r="79" ht="22.5" customHeight="1">
      <c r="A79" s="32">
        <v>46042.0</v>
      </c>
      <c r="B79" s="21" t="s">
        <v>129</v>
      </c>
      <c r="C79" s="21" t="s">
        <v>224</v>
      </c>
      <c r="D79" s="21" t="s">
        <v>259</v>
      </c>
      <c r="E79" s="21">
        <v>4.4</v>
      </c>
      <c r="F79" s="21">
        <v>5.05</v>
      </c>
      <c r="G79" s="30">
        <f t="shared" si="1"/>
        <v>4.725</v>
      </c>
      <c r="H79" s="30">
        <f t="shared" si="2"/>
        <v>0.65</v>
      </c>
      <c r="I79" s="31">
        <f t="shared" si="3"/>
        <v>0.1375661376</v>
      </c>
    </row>
    <row r="80" ht="22.5" customHeight="1">
      <c r="A80" s="32">
        <v>46042.0</v>
      </c>
      <c r="B80" s="21" t="s">
        <v>129</v>
      </c>
      <c r="C80" s="21" t="s">
        <v>224</v>
      </c>
      <c r="D80" s="21" t="s">
        <v>260</v>
      </c>
      <c r="E80" s="21">
        <v>3.4</v>
      </c>
      <c r="F80" s="21">
        <v>4.38</v>
      </c>
      <c r="G80" s="30">
        <f t="shared" si="1"/>
        <v>3.89</v>
      </c>
      <c r="H80" s="30">
        <f t="shared" si="2"/>
        <v>0.98</v>
      </c>
      <c r="I80" s="31">
        <f t="shared" si="3"/>
        <v>0.2519280206</v>
      </c>
    </row>
    <row r="81" ht="22.5" customHeight="1">
      <c r="A81" s="32">
        <v>46042.0</v>
      </c>
      <c r="B81" s="21" t="s">
        <v>129</v>
      </c>
      <c r="C81" s="21" t="s">
        <v>225</v>
      </c>
      <c r="D81" s="21" t="s">
        <v>259</v>
      </c>
      <c r="E81" s="21">
        <v>4.1</v>
      </c>
      <c r="F81" s="21">
        <v>5.0</v>
      </c>
      <c r="G81" s="30">
        <f t="shared" si="1"/>
        <v>4.55</v>
      </c>
      <c r="H81" s="30">
        <f t="shared" si="2"/>
        <v>0.9</v>
      </c>
      <c r="I81" s="31">
        <f t="shared" si="3"/>
        <v>0.1978021978</v>
      </c>
    </row>
    <row r="82" ht="22.5" customHeight="1">
      <c r="A82" s="32">
        <v>46042.0</v>
      </c>
      <c r="B82" s="21" t="s">
        <v>129</v>
      </c>
      <c r="C82" s="21" t="s">
        <v>225</v>
      </c>
      <c r="D82" s="21" t="s">
        <v>260</v>
      </c>
      <c r="E82" s="21">
        <v>3.2</v>
      </c>
      <c r="F82" s="21">
        <v>4.08</v>
      </c>
      <c r="G82" s="30">
        <f t="shared" si="1"/>
        <v>3.64</v>
      </c>
      <c r="H82" s="30">
        <f t="shared" si="2"/>
        <v>0.88</v>
      </c>
      <c r="I82" s="31">
        <f t="shared" si="3"/>
        <v>0.2417582418</v>
      </c>
    </row>
    <row r="83" ht="22.5" customHeight="1">
      <c r="A83" s="32">
        <v>46042.0</v>
      </c>
      <c r="B83" s="21" t="s">
        <v>129</v>
      </c>
      <c r="C83" s="21" t="s">
        <v>226</v>
      </c>
      <c r="D83" s="21" t="s">
        <v>259</v>
      </c>
      <c r="E83" s="21">
        <v>3.65</v>
      </c>
      <c r="F83" s="21">
        <v>4.35</v>
      </c>
      <c r="G83" s="30">
        <f t="shared" si="1"/>
        <v>4</v>
      </c>
      <c r="H83" s="30">
        <f t="shared" si="2"/>
        <v>0.7</v>
      </c>
      <c r="I83" s="31">
        <f t="shared" si="3"/>
        <v>0.175</v>
      </c>
    </row>
    <row r="84" ht="22.5" customHeight="1">
      <c r="A84" s="32">
        <v>46042.0</v>
      </c>
      <c r="B84" s="21" t="s">
        <v>129</v>
      </c>
      <c r="C84" s="21" t="s">
        <v>226</v>
      </c>
      <c r="D84" s="21" t="s">
        <v>260</v>
      </c>
      <c r="E84" s="21">
        <v>3.0</v>
      </c>
      <c r="F84" s="21">
        <v>3.64</v>
      </c>
      <c r="G84" s="30">
        <f t="shared" si="1"/>
        <v>3.32</v>
      </c>
      <c r="H84" s="30">
        <f t="shared" si="2"/>
        <v>0.64</v>
      </c>
      <c r="I84" s="31">
        <f t="shared" si="3"/>
        <v>0.1927710843</v>
      </c>
    </row>
    <row r="85" ht="22.5" customHeight="1">
      <c r="A85" s="32">
        <v>46042.0</v>
      </c>
      <c r="B85" s="21" t="s">
        <v>129</v>
      </c>
      <c r="C85" s="21" t="s">
        <v>227</v>
      </c>
      <c r="D85" s="21" t="s">
        <v>259</v>
      </c>
      <c r="E85" s="21">
        <v>3.3</v>
      </c>
      <c r="F85" s="21">
        <v>3.85</v>
      </c>
      <c r="G85" s="30">
        <f t="shared" si="1"/>
        <v>3.575</v>
      </c>
      <c r="H85" s="30">
        <f t="shared" si="2"/>
        <v>0.55</v>
      </c>
      <c r="I85" s="31">
        <f t="shared" si="3"/>
        <v>0.1538461538</v>
      </c>
    </row>
    <row r="86" ht="22.5" customHeight="1">
      <c r="A86" s="32">
        <v>46042.0</v>
      </c>
      <c r="B86" s="21" t="s">
        <v>129</v>
      </c>
      <c r="C86" s="21" t="s">
        <v>227</v>
      </c>
      <c r="D86" s="21" t="s">
        <v>260</v>
      </c>
      <c r="E86" s="21">
        <v>2.6</v>
      </c>
      <c r="F86" s="21">
        <v>3.28</v>
      </c>
      <c r="G86" s="30">
        <f t="shared" si="1"/>
        <v>2.94</v>
      </c>
      <c r="H86" s="30">
        <f t="shared" si="2"/>
        <v>0.68</v>
      </c>
      <c r="I86" s="31">
        <f t="shared" si="3"/>
        <v>0.231292517</v>
      </c>
    </row>
    <row r="87" ht="22.5" customHeight="1">
      <c r="A87" s="32">
        <v>46042.0</v>
      </c>
      <c r="B87" s="21" t="s">
        <v>140</v>
      </c>
      <c r="C87" s="21" t="s">
        <v>261</v>
      </c>
      <c r="D87" s="18"/>
      <c r="E87" s="21">
        <v>2.9</v>
      </c>
      <c r="F87" s="21">
        <v>3.46</v>
      </c>
      <c r="G87" s="30">
        <f t="shared" si="1"/>
        <v>3.18</v>
      </c>
      <c r="H87" s="30">
        <f t="shared" si="2"/>
        <v>0.56</v>
      </c>
      <c r="I87" s="31">
        <f t="shared" si="3"/>
        <v>0.1761006289</v>
      </c>
    </row>
    <row r="88" ht="22.5" customHeight="1">
      <c r="A88" s="32">
        <v>46042.0</v>
      </c>
      <c r="B88" s="21" t="s">
        <v>140</v>
      </c>
      <c r="C88" s="21" t="s">
        <v>262</v>
      </c>
      <c r="D88" s="18"/>
      <c r="E88" s="21">
        <v>2.3</v>
      </c>
      <c r="F88" s="21">
        <v>3.18</v>
      </c>
      <c r="G88" s="30">
        <f t="shared" si="1"/>
        <v>2.74</v>
      </c>
      <c r="H88" s="30">
        <f t="shared" si="2"/>
        <v>0.88</v>
      </c>
      <c r="I88" s="31">
        <f t="shared" si="3"/>
        <v>0.3211678832</v>
      </c>
    </row>
    <row r="89" ht="22.5" customHeight="1">
      <c r="A89" s="32">
        <v>46056.0</v>
      </c>
      <c r="B89" s="21" t="s">
        <v>136</v>
      </c>
      <c r="C89" s="21"/>
      <c r="D89" s="21" t="s">
        <v>210</v>
      </c>
      <c r="E89" s="21">
        <v>0.9</v>
      </c>
      <c r="F89" s="21">
        <v>1.44</v>
      </c>
      <c r="G89" s="30">
        <f t="shared" si="1"/>
        <v>1.17</v>
      </c>
      <c r="H89" s="30">
        <f t="shared" si="2"/>
        <v>0.54</v>
      </c>
      <c r="I89" s="31">
        <f t="shared" si="3"/>
        <v>0.4615384615</v>
      </c>
    </row>
    <row r="90" ht="22.5" customHeight="1">
      <c r="A90" s="32">
        <v>46056.0</v>
      </c>
      <c r="B90" s="21" t="s">
        <v>136</v>
      </c>
      <c r="C90" s="21"/>
      <c r="D90" s="21" t="s">
        <v>211</v>
      </c>
      <c r="E90" s="21">
        <v>1.45</v>
      </c>
      <c r="F90" s="21">
        <v>1.59</v>
      </c>
      <c r="G90" s="30">
        <f t="shared" si="1"/>
        <v>1.52</v>
      </c>
      <c r="H90" s="30">
        <f t="shared" si="2"/>
        <v>0.14</v>
      </c>
      <c r="I90" s="31">
        <f t="shared" si="3"/>
        <v>0.09210526316</v>
      </c>
    </row>
    <row r="91" ht="22.5" customHeight="1">
      <c r="A91" s="32">
        <v>46056.0</v>
      </c>
      <c r="B91" s="21" t="s">
        <v>136</v>
      </c>
      <c r="C91" s="21"/>
      <c r="D91" s="21" t="s">
        <v>255</v>
      </c>
      <c r="E91" s="21">
        <v>1.6</v>
      </c>
      <c r="F91" s="21">
        <v>1.71</v>
      </c>
      <c r="G91" s="30">
        <f t="shared" si="1"/>
        <v>1.655</v>
      </c>
      <c r="H91" s="30">
        <f t="shared" si="2"/>
        <v>0.11</v>
      </c>
      <c r="I91" s="31">
        <f t="shared" si="3"/>
        <v>0.0664652568</v>
      </c>
    </row>
    <row r="92" ht="22.5" customHeight="1">
      <c r="A92" s="32">
        <v>46056.0</v>
      </c>
      <c r="B92" s="21" t="s">
        <v>139</v>
      </c>
      <c r="C92" s="21"/>
      <c r="D92" s="21" t="s">
        <v>256</v>
      </c>
      <c r="E92" s="21">
        <v>1.85</v>
      </c>
      <c r="F92" s="21">
        <v>1.94</v>
      </c>
      <c r="G92" s="30">
        <f t="shared" si="1"/>
        <v>1.895</v>
      </c>
      <c r="H92" s="30">
        <f t="shared" si="2"/>
        <v>0.09</v>
      </c>
      <c r="I92" s="31">
        <f t="shared" si="3"/>
        <v>0.04749340369</v>
      </c>
    </row>
    <row r="93" ht="22.5" customHeight="1">
      <c r="A93" s="32">
        <v>46056.0</v>
      </c>
      <c r="B93" s="21" t="s">
        <v>139</v>
      </c>
      <c r="C93" s="21"/>
      <c r="D93" s="21" t="s">
        <v>257</v>
      </c>
      <c r="E93" s="21">
        <v>1.7</v>
      </c>
      <c r="F93" s="21">
        <v>1.84</v>
      </c>
      <c r="G93" s="30">
        <f t="shared" si="1"/>
        <v>1.77</v>
      </c>
      <c r="H93" s="30">
        <f t="shared" si="2"/>
        <v>0.14</v>
      </c>
      <c r="I93" s="31">
        <f t="shared" si="3"/>
        <v>0.0790960452</v>
      </c>
    </row>
    <row r="94" ht="22.5" customHeight="1">
      <c r="A94" s="32">
        <v>46056.0</v>
      </c>
      <c r="B94" s="21" t="s">
        <v>133</v>
      </c>
      <c r="C94" s="21"/>
      <c r="D94" s="21" t="s">
        <v>245</v>
      </c>
      <c r="E94" s="21">
        <v>1400.0</v>
      </c>
      <c r="F94" s="21">
        <v>4150.0</v>
      </c>
      <c r="G94" s="30">
        <f t="shared" si="1"/>
        <v>2775</v>
      </c>
      <c r="H94" s="30">
        <f t="shared" si="2"/>
        <v>2750</v>
      </c>
      <c r="I94" s="31">
        <f t="shared" si="3"/>
        <v>0.990990991</v>
      </c>
    </row>
    <row r="95" ht="22.5" customHeight="1">
      <c r="A95" s="32">
        <v>46056.0</v>
      </c>
      <c r="B95" s="21" t="s">
        <v>133</v>
      </c>
      <c r="C95" s="21"/>
      <c r="D95" s="21" t="s">
        <v>149</v>
      </c>
      <c r="E95" s="21">
        <v>1350.0</v>
      </c>
      <c r="F95" s="21">
        <v>2800.0</v>
      </c>
      <c r="G95" s="30">
        <f t="shared" si="1"/>
        <v>2075</v>
      </c>
      <c r="H95" s="30">
        <f t="shared" si="2"/>
        <v>1450</v>
      </c>
      <c r="I95" s="31">
        <f t="shared" si="3"/>
        <v>0.6987951807</v>
      </c>
    </row>
    <row r="96" ht="22.5" customHeight="1">
      <c r="A96" s="32">
        <v>46056.0</v>
      </c>
      <c r="B96" s="21" t="s">
        <v>120</v>
      </c>
      <c r="C96" s="21" t="s">
        <v>258</v>
      </c>
      <c r="D96" s="21" t="s">
        <v>259</v>
      </c>
      <c r="E96" s="21">
        <v>5.5</v>
      </c>
      <c r="F96" s="21">
        <v>7.0</v>
      </c>
      <c r="G96" s="30">
        <f t="shared" si="1"/>
        <v>6.25</v>
      </c>
      <c r="H96" s="30">
        <f t="shared" si="2"/>
        <v>1.5</v>
      </c>
      <c r="I96" s="31">
        <f t="shared" si="3"/>
        <v>0.24</v>
      </c>
    </row>
    <row r="97" ht="22.5" customHeight="1">
      <c r="A97" s="32">
        <v>46056.0</v>
      </c>
      <c r="B97" s="21" t="s">
        <v>120</v>
      </c>
      <c r="C97" s="21" t="s">
        <v>258</v>
      </c>
      <c r="D97" s="21" t="s">
        <v>260</v>
      </c>
      <c r="E97" s="21">
        <v>4.4</v>
      </c>
      <c r="F97" s="21">
        <v>5.45</v>
      </c>
      <c r="G97" s="30">
        <f t="shared" si="1"/>
        <v>4.925</v>
      </c>
      <c r="H97" s="30">
        <f t="shared" si="2"/>
        <v>1.05</v>
      </c>
      <c r="I97" s="31">
        <f t="shared" si="3"/>
        <v>0.2131979695</v>
      </c>
    </row>
    <row r="98" ht="22.5" customHeight="1">
      <c r="A98" s="32">
        <v>46056.0</v>
      </c>
      <c r="B98" s="21" t="s">
        <v>120</v>
      </c>
      <c r="C98" s="21" t="s">
        <v>224</v>
      </c>
      <c r="D98" s="21" t="s">
        <v>259</v>
      </c>
      <c r="E98" s="21">
        <v>5.0</v>
      </c>
      <c r="F98" s="21">
        <v>5.95</v>
      </c>
      <c r="G98" s="30">
        <f t="shared" si="1"/>
        <v>5.475</v>
      </c>
      <c r="H98" s="30">
        <f t="shared" si="2"/>
        <v>0.95</v>
      </c>
      <c r="I98" s="31">
        <f t="shared" si="3"/>
        <v>0.1735159817</v>
      </c>
    </row>
    <row r="99" ht="22.5" customHeight="1">
      <c r="A99" s="32">
        <v>46056.0</v>
      </c>
      <c r="B99" s="21" t="s">
        <v>120</v>
      </c>
      <c r="C99" s="21" t="s">
        <v>224</v>
      </c>
      <c r="D99" s="21" t="s">
        <v>260</v>
      </c>
      <c r="E99" s="21">
        <v>4.2</v>
      </c>
      <c r="F99" s="21">
        <v>4.98</v>
      </c>
      <c r="G99" s="30">
        <f t="shared" si="1"/>
        <v>4.59</v>
      </c>
      <c r="H99" s="30">
        <f t="shared" si="2"/>
        <v>0.78</v>
      </c>
      <c r="I99" s="31">
        <f t="shared" si="3"/>
        <v>0.1699346405</v>
      </c>
    </row>
    <row r="100" ht="22.5" customHeight="1">
      <c r="A100" s="32">
        <v>46056.0</v>
      </c>
      <c r="B100" s="21" t="s">
        <v>120</v>
      </c>
      <c r="C100" s="21" t="s">
        <v>225</v>
      </c>
      <c r="D100" s="21" t="s">
        <v>259</v>
      </c>
      <c r="E100" s="21">
        <v>4.8</v>
      </c>
      <c r="F100" s="21">
        <v>5.6</v>
      </c>
      <c r="G100" s="30">
        <f t="shared" si="1"/>
        <v>5.2</v>
      </c>
      <c r="H100" s="30">
        <f t="shared" si="2"/>
        <v>0.8</v>
      </c>
      <c r="I100" s="31">
        <f t="shared" si="3"/>
        <v>0.1538461538</v>
      </c>
    </row>
    <row r="101" ht="22.5" customHeight="1">
      <c r="A101" s="32">
        <v>46056.0</v>
      </c>
      <c r="B101" s="21" t="s">
        <v>120</v>
      </c>
      <c r="C101" s="21" t="s">
        <v>225</v>
      </c>
      <c r="D101" s="21" t="s">
        <v>260</v>
      </c>
      <c r="E101" s="21">
        <v>3.8</v>
      </c>
      <c r="F101" s="21">
        <v>4.78</v>
      </c>
      <c r="G101" s="30">
        <f t="shared" si="1"/>
        <v>4.29</v>
      </c>
      <c r="H101" s="30">
        <f t="shared" si="2"/>
        <v>0.98</v>
      </c>
      <c r="I101" s="31">
        <f t="shared" si="3"/>
        <v>0.2284382284</v>
      </c>
    </row>
    <row r="102" ht="22.5" customHeight="1">
      <c r="A102" s="32">
        <v>46056.0</v>
      </c>
      <c r="B102" s="21" t="s">
        <v>120</v>
      </c>
      <c r="C102" s="21" t="s">
        <v>226</v>
      </c>
      <c r="D102" s="21" t="s">
        <v>259</v>
      </c>
      <c r="E102" s="21">
        <v>4.3</v>
      </c>
      <c r="F102" s="21">
        <v>5.2</v>
      </c>
      <c r="G102" s="30">
        <f t="shared" si="1"/>
        <v>4.75</v>
      </c>
      <c r="H102" s="30">
        <f t="shared" si="2"/>
        <v>0.9</v>
      </c>
      <c r="I102" s="31">
        <f t="shared" si="3"/>
        <v>0.1894736842</v>
      </c>
    </row>
    <row r="103" ht="22.5" customHeight="1">
      <c r="A103" s="32">
        <v>46056.0</v>
      </c>
      <c r="B103" s="21" t="s">
        <v>120</v>
      </c>
      <c r="C103" s="21" t="s">
        <v>226</v>
      </c>
      <c r="D103" s="21" t="s">
        <v>260</v>
      </c>
      <c r="E103" s="21">
        <v>3.7</v>
      </c>
      <c r="F103" s="21">
        <v>4.28</v>
      </c>
      <c r="G103" s="30">
        <f t="shared" si="1"/>
        <v>3.99</v>
      </c>
      <c r="H103" s="30">
        <f t="shared" si="2"/>
        <v>0.58</v>
      </c>
      <c r="I103" s="31">
        <f t="shared" si="3"/>
        <v>0.1453634085</v>
      </c>
    </row>
    <row r="104" ht="22.5" customHeight="1">
      <c r="A104" s="32">
        <v>46056.0</v>
      </c>
      <c r="B104" s="21" t="s">
        <v>120</v>
      </c>
      <c r="C104" s="21" t="s">
        <v>227</v>
      </c>
      <c r="D104" s="21" t="s">
        <v>259</v>
      </c>
      <c r="E104" s="21">
        <v>3.65</v>
      </c>
      <c r="F104" s="21">
        <v>4.5</v>
      </c>
      <c r="G104" s="30">
        <f t="shared" si="1"/>
        <v>4.075</v>
      </c>
      <c r="H104" s="30">
        <f t="shared" si="2"/>
        <v>0.85</v>
      </c>
      <c r="I104" s="31">
        <f t="shared" si="3"/>
        <v>0.2085889571</v>
      </c>
    </row>
    <row r="105" ht="22.5" customHeight="1">
      <c r="A105" s="32">
        <v>46056.0</v>
      </c>
      <c r="B105" s="21" t="s">
        <v>120</v>
      </c>
      <c r="C105" s="21" t="s">
        <v>227</v>
      </c>
      <c r="D105" s="21" t="s">
        <v>260</v>
      </c>
      <c r="E105" s="21">
        <v>3.3</v>
      </c>
      <c r="F105" s="21">
        <v>3.64</v>
      </c>
      <c r="G105" s="30">
        <f t="shared" si="1"/>
        <v>3.47</v>
      </c>
      <c r="H105" s="30">
        <f t="shared" si="2"/>
        <v>0.34</v>
      </c>
      <c r="I105" s="31">
        <f t="shared" si="3"/>
        <v>0.09798270893</v>
      </c>
    </row>
    <row r="106" ht="22.5" customHeight="1">
      <c r="A106" s="32">
        <v>46056.0</v>
      </c>
      <c r="B106" s="21" t="s">
        <v>129</v>
      </c>
      <c r="C106" s="21" t="s">
        <v>258</v>
      </c>
      <c r="D106" s="21" t="s">
        <v>259</v>
      </c>
      <c r="E106" s="21">
        <v>4.8</v>
      </c>
      <c r="F106" s="21">
        <v>6.4</v>
      </c>
      <c r="G106" s="30">
        <f t="shared" si="1"/>
        <v>5.6</v>
      </c>
      <c r="H106" s="30">
        <f t="shared" si="2"/>
        <v>1.6</v>
      </c>
      <c r="I106" s="31">
        <f t="shared" si="3"/>
        <v>0.2857142857</v>
      </c>
    </row>
    <row r="107" ht="22.5" customHeight="1">
      <c r="A107" s="32">
        <v>46056.0</v>
      </c>
      <c r="B107" s="21" t="s">
        <v>129</v>
      </c>
      <c r="C107" s="21" t="s">
        <v>258</v>
      </c>
      <c r="D107" s="21" t="s">
        <v>260</v>
      </c>
      <c r="E107" s="21">
        <v>3.0</v>
      </c>
      <c r="F107" s="21">
        <v>4.78</v>
      </c>
      <c r="G107" s="30">
        <f t="shared" si="1"/>
        <v>3.89</v>
      </c>
      <c r="H107" s="30">
        <f t="shared" si="2"/>
        <v>1.78</v>
      </c>
      <c r="I107" s="31">
        <f t="shared" si="3"/>
        <v>0.4575835476</v>
      </c>
    </row>
    <row r="108" ht="22.5" customHeight="1">
      <c r="A108" s="32">
        <v>46056.0</v>
      </c>
      <c r="B108" s="21" t="s">
        <v>129</v>
      </c>
      <c r="C108" s="21" t="s">
        <v>224</v>
      </c>
      <c r="D108" s="21" t="s">
        <v>259</v>
      </c>
      <c r="E108" s="21">
        <v>4.6</v>
      </c>
      <c r="F108" s="21">
        <v>5.3</v>
      </c>
      <c r="G108" s="30">
        <f t="shared" si="1"/>
        <v>4.95</v>
      </c>
      <c r="H108" s="30">
        <f t="shared" si="2"/>
        <v>0.7</v>
      </c>
      <c r="I108" s="31">
        <f t="shared" si="3"/>
        <v>0.1414141414</v>
      </c>
    </row>
    <row r="109" ht="22.5" customHeight="1">
      <c r="A109" s="32">
        <v>46056.0</v>
      </c>
      <c r="B109" s="21" t="s">
        <v>129</v>
      </c>
      <c r="C109" s="21" t="s">
        <v>224</v>
      </c>
      <c r="D109" s="21" t="s">
        <v>260</v>
      </c>
      <c r="E109" s="21">
        <v>3.0</v>
      </c>
      <c r="F109" s="21">
        <v>4.58</v>
      </c>
      <c r="G109" s="30">
        <f t="shared" si="1"/>
        <v>3.79</v>
      </c>
      <c r="H109" s="30">
        <f t="shared" si="2"/>
        <v>1.58</v>
      </c>
      <c r="I109" s="31">
        <f t="shared" si="3"/>
        <v>0.4168865435</v>
      </c>
    </row>
    <row r="110" ht="22.5" customHeight="1">
      <c r="A110" s="32">
        <v>46056.0</v>
      </c>
      <c r="B110" s="21" t="s">
        <v>129</v>
      </c>
      <c r="C110" s="21" t="s">
        <v>225</v>
      </c>
      <c r="D110" s="21" t="s">
        <v>259</v>
      </c>
      <c r="E110" s="21">
        <v>4.3</v>
      </c>
      <c r="F110" s="21">
        <v>4.9</v>
      </c>
      <c r="G110" s="30">
        <f t="shared" si="1"/>
        <v>4.6</v>
      </c>
      <c r="H110" s="30">
        <f t="shared" si="2"/>
        <v>0.6</v>
      </c>
      <c r="I110" s="31">
        <f t="shared" si="3"/>
        <v>0.1304347826</v>
      </c>
    </row>
    <row r="111" ht="22.5" customHeight="1">
      <c r="A111" s="32">
        <v>46056.0</v>
      </c>
      <c r="B111" s="21" t="s">
        <v>129</v>
      </c>
      <c r="C111" s="21" t="s">
        <v>225</v>
      </c>
      <c r="D111" s="21" t="s">
        <v>260</v>
      </c>
      <c r="E111" s="21">
        <v>3.0</v>
      </c>
      <c r="F111" s="21">
        <v>4.28</v>
      </c>
      <c r="G111" s="30">
        <f t="shared" si="1"/>
        <v>3.64</v>
      </c>
      <c r="H111" s="30">
        <f t="shared" si="2"/>
        <v>1.28</v>
      </c>
      <c r="I111" s="31">
        <f t="shared" si="3"/>
        <v>0.3516483516</v>
      </c>
    </row>
    <row r="112" ht="22.5" customHeight="1">
      <c r="A112" s="32">
        <v>46056.0</v>
      </c>
      <c r="B112" s="21" t="s">
        <v>129</v>
      </c>
      <c r="C112" s="21" t="s">
        <v>226</v>
      </c>
      <c r="D112" s="21" t="s">
        <v>259</v>
      </c>
      <c r="E112" s="21">
        <v>3.6</v>
      </c>
      <c r="F112" s="21">
        <v>5.0</v>
      </c>
      <c r="G112" s="30">
        <f t="shared" si="1"/>
        <v>4.3</v>
      </c>
      <c r="H112" s="30">
        <f t="shared" si="2"/>
        <v>1.4</v>
      </c>
      <c r="I112" s="31">
        <f t="shared" si="3"/>
        <v>0.3255813953</v>
      </c>
    </row>
    <row r="113" ht="22.5" customHeight="1">
      <c r="A113" s="32">
        <v>46056.0</v>
      </c>
      <c r="B113" s="21" t="s">
        <v>129</v>
      </c>
      <c r="C113" s="21" t="s">
        <v>226</v>
      </c>
      <c r="D113" s="21" t="s">
        <v>260</v>
      </c>
      <c r="E113" s="21">
        <v>2.6</v>
      </c>
      <c r="F113" s="21">
        <v>3.58</v>
      </c>
      <c r="G113" s="30">
        <f t="shared" si="1"/>
        <v>3.09</v>
      </c>
      <c r="H113" s="30">
        <f t="shared" si="2"/>
        <v>0.98</v>
      </c>
      <c r="I113" s="31">
        <f t="shared" si="3"/>
        <v>0.3171521036</v>
      </c>
    </row>
    <row r="114" ht="22.5" customHeight="1">
      <c r="A114" s="32">
        <v>46056.0</v>
      </c>
      <c r="B114" s="21" t="s">
        <v>129</v>
      </c>
      <c r="C114" s="21" t="s">
        <v>227</v>
      </c>
      <c r="D114" s="21" t="s">
        <v>259</v>
      </c>
      <c r="E114" s="21">
        <v>3.3</v>
      </c>
      <c r="F114" s="21">
        <v>3.95</v>
      </c>
      <c r="G114" s="30">
        <f t="shared" si="1"/>
        <v>3.625</v>
      </c>
      <c r="H114" s="30">
        <f t="shared" si="2"/>
        <v>0.65</v>
      </c>
      <c r="I114" s="31">
        <f t="shared" si="3"/>
        <v>0.1793103448</v>
      </c>
    </row>
    <row r="115" ht="22.5" customHeight="1">
      <c r="A115" s="32">
        <v>46056.0</v>
      </c>
      <c r="B115" s="21" t="s">
        <v>129</v>
      </c>
      <c r="C115" s="21" t="s">
        <v>227</v>
      </c>
      <c r="D115" s="21" t="s">
        <v>260</v>
      </c>
      <c r="E115" s="21">
        <v>2.6</v>
      </c>
      <c r="F115" s="21">
        <v>3.28</v>
      </c>
      <c r="G115" s="30">
        <f t="shared" si="1"/>
        <v>2.94</v>
      </c>
      <c r="H115" s="30">
        <f t="shared" si="2"/>
        <v>0.68</v>
      </c>
      <c r="I115" s="31">
        <f t="shared" si="3"/>
        <v>0.231292517</v>
      </c>
    </row>
    <row r="116" ht="22.5" customHeight="1">
      <c r="A116" s="32">
        <v>46056.0</v>
      </c>
      <c r="B116" s="21" t="s">
        <v>140</v>
      </c>
      <c r="C116" s="21" t="s">
        <v>261</v>
      </c>
      <c r="D116" s="18"/>
      <c r="E116" s="21">
        <v>2.9</v>
      </c>
      <c r="F116" s="21">
        <v>3.6</v>
      </c>
      <c r="G116" s="30">
        <f t="shared" si="1"/>
        <v>3.25</v>
      </c>
      <c r="H116" s="30">
        <f t="shared" si="2"/>
        <v>0.7</v>
      </c>
      <c r="I116" s="31">
        <f t="shared" si="3"/>
        <v>0.2153846154</v>
      </c>
    </row>
    <row r="117" ht="22.5" customHeight="1">
      <c r="A117" s="32">
        <v>46056.0</v>
      </c>
      <c r="B117" s="21" t="s">
        <v>140</v>
      </c>
      <c r="C117" s="21" t="s">
        <v>262</v>
      </c>
      <c r="D117" s="18"/>
      <c r="E117" s="21">
        <v>2.3</v>
      </c>
      <c r="F117" s="21">
        <v>3.3</v>
      </c>
      <c r="G117" s="30">
        <f t="shared" si="1"/>
        <v>2.8</v>
      </c>
      <c r="H117" s="30">
        <f t="shared" si="2"/>
        <v>1</v>
      </c>
      <c r="I117" s="31">
        <f t="shared" si="3"/>
        <v>0.3571428571</v>
      </c>
    </row>
    <row r="118" ht="22.5" customHeight="1">
      <c r="A118" s="32">
        <v>46063.0</v>
      </c>
      <c r="B118" s="21" t="s">
        <v>136</v>
      </c>
      <c r="C118" s="21"/>
      <c r="D118" s="21" t="s">
        <v>210</v>
      </c>
      <c r="E118" s="21">
        <v>0.94</v>
      </c>
      <c r="F118" s="21">
        <v>1.45</v>
      </c>
      <c r="G118" s="30">
        <f t="shared" si="1"/>
        <v>1.195</v>
      </c>
      <c r="H118" s="30">
        <f t="shared" si="2"/>
        <v>0.51</v>
      </c>
      <c r="I118" s="31">
        <f t="shared" si="3"/>
        <v>0.4267782427</v>
      </c>
    </row>
    <row r="119" ht="22.5" customHeight="1">
      <c r="A119" s="32">
        <v>46063.0</v>
      </c>
      <c r="B119" s="21" t="s">
        <v>136</v>
      </c>
      <c r="C119" s="21"/>
      <c r="D119" s="21" t="s">
        <v>211</v>
      </c>
      <c r="E119" s="21">
        <v>1.46</v>
      </c>
      <c r="F119" s="21">
        <v>1.59</v>
      </c>
      <c r="G119" s="30">
        <f t="shared" si="1"/>
        <v>1.525</v>
      </c>
      <c r="H119" s="30">
        <f t="shared" si="2"/>
        <v>0.13</v>
      </c>
      <c r="I119" s="31">
        <f t="shared" si="3"/>
        <v>0.08524590164</v>
      </c>
    </row>
    <row r="120" ht="22.5" customHeight="1">
      <c r="A120" s="32">
        <v>46063.0</v>
      </c>
      <c r="B120" s="21" t="s">
        <v>136</v>
      </c>
      <c r="C120" s="21"/>
      <c r="D120" s="21" t="s">
        <v>255</v>
      </c>
      <c r="E120" s="21">
        <v>1.6</v>
      </c>
      <c r="F120" s="21">
        <v>1.7</v>
      </c>
      <c r="G120" s="30">
        <f t="shared" si="1"/>
        <v>1.65</v>
      </c>
      <c r="H120" s="30">
        <f t="shared" si="2"/>
        <v>0.1</v>
      </c>
      <c r="I120" s="31">
        <f t="shared" si="3"/>
        <v>0.06060606061</v>
      </c>
    </row>
    <row r="121" ht="22.5" customHeight="1">
      <c r="A121" s="32">
        <v>46063.0</v>
      </c>
      <c r="B121" s="21" t="s">
        <v>139</v>
      </c>
      <c r="C121" s="21"/>
      <c r="D121" s="21" t="s">
        <v>256</v>
      </c>
      <c r="E121" s="21">
        <v>1.85</v>
      </c>
      <c r="F121" s="21">
        <v>1.94</v>
      </c>
      <c r="G121" s="30">
        <f t="shared" si="1"/>
        <v>1.895</v>
      </c>
      <c r="H121" s="30">
        <f t="shared" si="2"/>
        <v>0.09</v>
      </c>
      <c r="I121" s="31">
        <f t="shared" si="3"/>
        <v>0.04749340369</v>
      </c>
    </row>
    <row r="122" ht="22.5" customHeight="1">
      <c r="A122" s="32">
        <v>46063.0</v>
      </c>
      <c r="B122" s="21" t="s">
        <v>139</v>
      </c>
      <c r="C122" s="21"/>
      <c r="D122" s="21" t="s">
        <v>257</v>
      </c>
      <c r="E122" s="21">
        <v>1.55</v>
      </c>
      <c r="F122" s="21">
        <v>1.84</v>
      </c>
      <c r="G122" s="30">
        <f t="shared" si="1"/>
        <v>1.695</v>
      </c>
      <c r="H122" s="30">
        <f t="shared" si="2"/>
        <v>0.29</v>
      </c>
      <c r="I122" s="31">
        <f t="shared" si="3"/>
        <v>0.1710914454</v>
      </c>
    </row>
    <row r="123" ht="22.5" customHeight="1">
      <c r="A123" s="32">
        <v>46063.0</v>
      </c>
      <c r="B123" s="21" t="s">
        <v>133</v>
      </c>
      <c r="C123" s="21"/>
      <c r="D123" s="21" t="s">
        <v>245</v>
      </c>
      <c r="E123" s="21">
        <v>1900.0</v>
      </c>
      <c r="F123" s="21">
        <v>4000.0</v>
      </c>
      <c r="G123" s="30">
        <f t="shared" si="1"/>
        <v>2950</v>
      </c>
      <c r="H123" s="30">
        <f t="shared" si="2"/>
        <v>2100</v>
      </c>
      <c r="I123" s="31">
        <f t="shared" si="3"/>
        <v>0.7118644068</v>
      </c>
    </row>
    <row r="124" ht="22.5" customHeight="1">
      <c r="A124" s="32">
        <v>46063.0</v>
      </c>
      <c r="B124" s="21" t="s">
        <v>133</v>
      </c>
      <c r="C124" s="21"/>
      <c r="D124" s="21" t="s">
        <v>149</v>
      </c>
      <c r="E124" s="21">
        <v>1800.0</v>
      </c>
      <c r="F124" s="21">
        <v>3250.0</v>
      </c>
      <c r="G124" s="30">
        <f t="shared" si="1"/>
        <v>2525</v>
      </c>
      <c r="H124" s="30">
        <f t="shared" si="2"/>
        <v>1450</v>
      </c>
      <c r="I124" s="31">
        <f t="shared" si="3"/>
        <v>0.5742574257</v>
      </c>
    </row>
    <row r="125" ht="22.5" customHeight="1">
      <c r="A125" s="32">
        <v>46063.0</v>
      </c>
      <c r="B125" s="21" t="s">
        <v>120</v>
      </c>
      <c r="C125" s="21" t="s">
        <v>258</v>
      </c>
      <c r="D125" s="21" t="s">
        <v>259</v>
      </c>
      <c r="E125" s="21">
        <v>5.6</v>
      </c>
      <c r="F125" s="21">
        <v>7.15</v>
      </c>
      <c r="G125" s="30">
        <f t="shared" si="1"/>
        <v>6.375</v>
      </c>
      <c r="H125" s="30">
        <f t="shared" si="2"/>
        <v>1.55</v>
      </c>
      <c r="I125" s="31">
        <f t="shared" si="3"/>
        <v>0.2431372549</v>
      </c>
    </row>
    <row r="126" ht="22.5" customHeight="1">
      <c r="A126" s="32">
        <v>46063.0</v>
      </c>
      <c r="B126" s="21" t="s">
        <v>120</v>
      </c>
      <c r="C126" s="21" t="s">
        <v>258</v>
      </c>
      <c r="D126" s="21" t="s">
        <v>260</v>
      </c>
      <c r="E126" s="21">
        <v>4.45</v>
      </c>
      <c r="F126" s="21">
        <v>5.58</v>
      </c>
      <c r="G126" s="30">
        <f t="shared" si="1"/>
        <v>5.015</v>
      </c>
      <c r="H126" s="30">
        <f t="shared" si="2"/>
        <v>1.13</v>
      </c>
      <c r="I126" s="31">
        <f t="shared" si="3"/>
        <v>0.2253240279</v>
      </c>
    </row>
    <row r="127" ht="22.5" customHeight="1">
      <c r="A127" s="32">
        <v>46063.0</v>
      </c>
      <c r="B127" s="21" t="s">
        <v>120</v>
      </c>
      <c r="C127" s="21" t="s">
        <v>224</v>
      </c>
      <c r="D127" s="21" t="s">
        <v>259</v>
      </c>
      <c r="E127" s="21">
        <v>5.0</v>
      </c>
      <c r="F127" s="21">
        <v>6.25</v>
      </c>
      <c r="G127" s="30">
        <f t="shared" si="1"/>
        <v>5.625</v>
      </c>
      <c r="H127" s="30">
        <f t="shared" si="2"/>
        <v>1.25</v>
      </c>
      <c r="I127" s="31">
        <f t="shared" si="3"/>
        <v>0.2222222222</v>
      </c>
    </row>
    <row r="128" ht="22.5" customHeight="1">
      <c r="A128" s="32">
        <v>46063.0</v>
      </c>
      <c r="B128" s="21" t="s">
        <v>120</v>
      </c>
      <c r="C128" s="21" t="s">
        <v>224</v>
      </c>
      <c r="D128" s="21" t="s">
        <v>260</v>
      </c>
      <c r="E128" s="21">
        <v>4.2</v>
      </c>
      <c r="F128" s="21">
        <v>4.98</v>
      </c>
      <c r="G128" s="30">
        <f t="shared" si="1"/>
        <v>4.59</v>
      </c>
      <c r="H128" s="30">
        <f t="shared" si="2"/>
        <v>0.78</v>
      </c>
      <c r="I128" s="31">
        <f t="shared" si="3"/>
        <v>0.1699346405</v>
      </c>
    </row>
    <row r="129" ht="22.5" customHeight="1">
      <c r="A129" s="32">
        <v>46063.0</v>
      </c>
      <c r="B129" s="21" t="s">
        <v>120</v>
      </c>
      <c r="C129" s="21" t="s">
        <v>225</v>
      </c>
      <c r="D129" s="21" t="s">
        <v>259</v>
      </c>
      <c r="E129" s="21">
        <v>4.75</v>
      </c>
      <c r="F129" s="21">
        <v>5.95</v>
      </c>
      <c r="G129" s="30">
        <f t="shared" si="1"/>
        <v>5.35</v>
      </c>
      <c r="H129" s="30">
        <f t="shared" si="2"/>
        <v>1.2</v>
      </c>
      <c r="I129" s="31">
        <f t="shared" si="3"/>
        <v>0.2242990654</v>
      </c>
    </row>
    <row r="130" ht="22.5" customHeight="1">
      <c r="A130" s="32">
        <v>46063.0</v>
      </c>
      <c r="B130" s="21" t="s">
        <v>120</v>
      </c>
      <c r="C130" s="21" t="s">
        <v>225</v>
      </c>
      <c r="D130" s="21" t="s">
        <v>260</v>
      </c>
      <c r="E130" s="21">
        <v>4.0</v>
      </c>
      <c r="F130" s="21">
        <v>4.74</v>
      </c>
      <c r="G130" s="30">
        <f t="shared" si="1"/>
        <v>4.37</v>
      </c>
      <c r="H130" s="30">
        <f t="shared" si="2"/>
        <v>0.74</v>
      </c>
      <c r="I130" s="31">
        <f t="shared" si="3"/>
        <v>0.1693363844</v>
      </c>
    </row>
    <row r="131" ht="22.5" customHeight="1">
      <c r="A131" s="32">
        <v>46063.0</v>
      </c>
      <c r="B131" s="21" t="s">
        <v>120</v>
      </c>
      <c r="C131" s="21" t="s">
        <v>226</v>
      </c>
      <c r="D131" s="21" t="s">
        <v>259</v>
      </c>
      <c r="E131" s="21">
        <v>4.25</v>
      </c>
      <c r="F131" s="21">
        <v>5.05</v>
      </c>
      <c r="G131" s="30">
        <f t="shared" si="1"/>
        <v>4.65</v>
      </c>
      <c r="H131" s="30">
        <f t="shared" si="2"/>
        <v>0.8</v>
      </c>
      <c r="I131" s="31">
        <f t="shared" si="3"/>
        <v>0.1720430108</v>
      </c>
    </row>
    <row r="132" ht="22.5" customHeight="1">
      <c r="A132" s="32">
        <v>46063.0</v>
      </c>
      <c r="B132" s="21" t="s">
        <v>120</v>
      </c>
      <c r="C132" s="21" t="s">
        <v>226</v>
      </c>
      <c r="D132" s="21" t="s">
        <v>260</v>
      </c>
      <c r="E132" s="21">
        <v>3.6</v>
      </c>
      <c r="F132" s="21">
        <v>4.24</v>
      </c>
      <c r="G132" s="30">
        <f t="shared" si="1"/>
        <v>3.92</v>
      </c>
      <c r="H132" s="30">
        <f t="shared" si="2"/>
        <v>0.64</v>
      </c>
      <c r="I132" s="31">
        <f t="shared" si="3"/>
        <v>0.1632653061</v>
      </c>
    </row>
    <row r="133" ht="22.5" customHeight="1">
      <c r="A133" s="32">
        <v>46063.0</v>
      </c>
      <c r="B133" s="21" t="s">
        <v>120</v>
      </c>
      <c r="C133" s="21" t="s">
        <v>227</v>
      </c>
      <c r="D133" s="21" t="s">
        <v>259</v>
      </c>
      <c r="E133" s="21">
        <v>3.8</v>
      </c>
      <c r="F133" s="21">
        <v>4.85</v>
      </c>
      <c r="G133" s="30">
        <f t="shared" si="1"/>
        <v>4.325</v>
      </c>
      <c r="H133" s="30">
        <f t="shared" si="2"/>
        <v>1.05</v>
      </c>
      <c r="I133" s="31">
        <f t="shared" si="3"/>
        <v>0.2427745665</v>
      </c>
    </row>
    <row r="134" ht="22.5" customHeight="1">
      <c r="A134" s="32">
        <v>46063.0</v>
      </c>
      <c r="B134" s="21" t="s">
        <v>120</v>
      </c>
      <c r="C134" s="21" t="s">
        <v>227</v>
      </c>
      <c r="D134" s="21" t="s">
        <v>260</v>
      </c>
      <c r="E134" s="21">
        <v>3.2</v>
      </c>
      <c r="F134" s="21">
        <v>3.78</v>
      </c>
      <c r="G134" s="30">
        <f t="shared" si="1"/>
        <v>3.49</v>
      </c>
      <c r="H134" s="30">
        <f t="shared" si="2"/>
        <v>0.58</v>
      </c>
      <c r="I134" s="31">
        <f t="shared" si="3"/>
        <v>0.1661891117</v>
      </c>
    </row>
    <row r="135" ht="22.5" customHeight="1">
      <c r="A135" s="32">
        <v>46063.0</v>
      </c>
      <c r="B135" s="21" t="s">
        <v>129</v>
      </c>
      <c r="C135" s="21" t="s">
        <v>258</v>
      </c>
      <c r="D135" s="21" t="s">
        <v>259</v>
      </c>
      <c r="E135" s="21">
        <v>4.85</v>
      </c>
      <c r="F135" s="21">
        <v>7.0</v>
      </c>
      <c r="G135" s="30">
        <f t="shared" si="1"/>
        <v>5.925</v>
      </c>
      <c r="H135" s="30">
        <f t="shared" si="2"/>
        <v>2.15</v>
      </c>
      <c r="I135" s="31">
        <f t="shared" si="3"/>
        <v>0.3628691983</v>
      </c>
    </row>
    <row r="136" ht="22.5" customHeight="1">
      <c r="A136" s="32">
        <v>46063.0</v>
      </c>
      <c r="B136" s="21" t="s">
        <v>129</v>
      </c>
      <c r="C136" s="21" t="s">
        <v>258</v>
      </c>
      <c r="D136" s="21" t="s">
        <v>260</v>
      </c>
      <c r="E136" s="21">
        <v>3.5</v>
      </c>
      <c r="F136" s="21">
        <v>4.8</v>
      </c>
      <c r="G136" s="30">
        <f t="shared" si="1"/>
        <v>4.15</v>
      </c>
      <c r="H136" s="30">
        <f t="shared" si="2"/>
        <v>1.3</v>
      </c>
      <c r="I136" s="31">
        <f t="shared" si="3"/>
        <v>0.313253012</v>
      </c>
    </row>
    <row r="137" ht="22.5" customHeight="1">
      <c r="A137" s="32">
        <v>46063.0</v>
      </c>
      <c r="B137" s="21" t="s">
        <v>129</v>
      </c>
      <c r="C137" s="21" t="s">
        <v>224</v>
      </c>
      <c r="D137" s="21" t="s">
        <v>259</v>
      </c>
      <c r="E137" s="21">
        <v>4.6</v>
      </c>
      <c r="F137" s="21">
        <v>5.25</v>
      </c>
      <c r="G137" s="30">
        <f t="shared" si="1"/>
        <v>4.925</v>
      </c>
      <c r="H137" s="30">
        <f t="shared" si="2"/>
        <v>0.65</v>
      </c>
      <c r="I137" s="31">
        <f t="shared" si="3"/>
        <v>0.1319796954</v>
      </c>
    </row>
    <row r="138" ht="22.5" customHeight="1">
      <c r="A138" s="32">
        <v>46063.0</v>
      </c>
      <c r="B138" s="21" t="s">
        <v>129</v>
      </c>
      <c r="C138" s="21" t="s">
        <v>224</v>
      </c>
      <c r="D138" s="21" t="s">
        <v>260</v>
      </c>
      <c r="E138" s="21">
        <v>3.4</v>
      </c>
      <c r="F138" s="21">
        <v>4.58</v>
      </c>
      <c r="G138" s="30">
        <f t="shared" si="1"/>
        <v>3.99</v>
      </c>
      <c r="H138" s="30">
        <f t="shared" si="2"/>
        <v>1.18</v>
      </c>
      <c r="I138" s="31">
        <f t="shared" si="3"/>
        <v>0.2957393484</v>
      </c>
    </row>
    <row r="139" ht="22.5" customHeight="1">
      <c r="A139" s="32">
        <v>46063.0</v>
      </c>
      <c r="B139" s="21" t="s">
        <v>129</v>
      </c>
      <c r="C139" s="21" t="s">
        <v>225</v>
      </c>
      <c r="D139" s="21" t="s">
        <v>259</v>
      </c>
      <c r="E139" s="21">
        <v>4.3</v>
      </c>
      <c r="F139" s="21">
        <v>5.0</v>
      </c>
      <c r="G139" s="30">
        <f t="shared" si="1"/>
        <v>4.65</v>
      </c>
      <c r="H139" s="30">
        <f t="shared" si="2"/>
        <v>0.7</v>
      </c>
      <c r="I139" s="31">
        <f t="shared" si="3"/>
        <v>0.1505376344</v>
      </c>
    </row>
    <row r="140" ht="22.5" customHeight="1">
      <c r="A140" s="32">
        <v>46063.0</v>
      </c>
      <c r="B140" s="21" t="s">
        <v>129</v>
      </c>
      <c r="C140" s="21" t="s">
        <v>225</v>
      </c>
      <c r="D140" s="21" t="s">
        <v>260</v>
      </c>
      <c r="E140" s="21">
        <v>3.4</v>
      </c>
      <c r="F140" s="21">
        <v>4.28</v>
      </c>
      <c r="G140" s="30">
        <f t="shared" si="1"/>
        <v>3.84</v>
      </c>
      <c r="H140" s="30">
        <f t="shared" si="2"/>
        <v>0.88</v>
      </c>
      <c r="I140" s="31">
        <f t="shared" si="3"/>
        <v>0.2291666667</v>
      </c>
    </row>
    <row r="141" ht="22.5" customHeight="1">
      <c r="A141" s="32">
        <v>46063.0</v>
      </c>
      <c r="B141" s="21" t="s">
        <v>129</v>
      </c>
      <c r="C141" s="21" t="s">
        <v>226</v>
      </c>
      <c r="D141" s="21" t="s">
        <v>259</v>
      </c>
      <c r="E141" s="21">
        <v>3.6</v>
      </c>
      <c r="F141" s="21">
        <v>4.5</v>
      </c>
      <c r="G141" s="30">
        <f t="shared" si="1"/>
        <v>4.05</v>
      </c>
      <c r="H141" s="30">
        <f t="shared" si="2"/>
        <v>0.9</v>
      </c>
      <c r="I141" s="31">
        <f t="shared" si="3"/>
        <v>0.2222222222</v>
      </c>
    </row>
    <row r="142" ht="22.5" customHeight="1">
      <c r="A142" s="32">
        <v>46063.0</v>
      </c>
      <c r="B142" s="21" t="s">
        <v>129</v>
      </c>
      <c r="C142" s="21" t="s">
        <v>226</v>
      </c>
      <c r="D142" s="21" t="s">
        <v>260</v>
      </c>
      <c r="E142" s="21">
        <v>3.3</v>
      </c>
      <c r="F142" s="21">
        <v>3.58</v>
      </c>
      <c r="G142" s="30">
        <f t="shared" si="1"/>
        <v>3.44</v>
      </c>
      <c r="H142" s="30">
        <f t="shared" si="2"/>
        <v>0.28</v>
      </c>
      <c r="I142" s="31">
        <f t="shared" si="3"/>
        <v>0.08139534884</v>
      </c>
    </row>
    <row r="143" ht="22.5" customHeight="1">
      <c r="A143" s="32">
        <v>46063.0</v>
      </c>
      <c r="B143" s="21" t="s">
        <v>129</v>
      </c>
      <c r="C143" s="21" t="s">
        <v>227</v>
      </c>
      <c r="D143" s="21" t="s">
        <v>259</v>
      </c>
      <c r="E143" s="21">
        <v>3.3</v>
      </c>
      <c r="F143" s="21">
        <v>3.6</v>
      </c>
      <c r="G143" s="30">
        <f t="shared" si="1"/>
        <v>3.45</v>
      </c>
      <c r="H143" s="30">
        <f t="shared" si="2"/>
        <v>0.3</v>
      </c>
      <c r="I143" s="31">
        <f t="shared" si="3"/>
        <v>0.08695652174</v>
      </c>
    </row>
    <row r="144" ht="22.5" customHeight="1">
      <c r="A144" s="32">
        <v>46063.0</v>
      </c>
      <c r="B144" s="21" t="s">
        <v>129</v>
      </c>
      <c r="C144" s="21" t="s">
        <v>227</v>
      </c>
      <c r="D144" s="21" t="s">
        <v>260</v>
      </c>
      <c r="E144" s="21">
        <v>3.0</v>
      </c>
      <c r="F144" s="21">
        <v>3.28</v>
      </c>
      <c r="G144" s="30">
        <f t="shared" si="1"/>
        <v>3.14</v>
      </c>
      <c r="H144" s="30">
        <f t="shared" si="2"/>
        <v>0.28</v>
      </c>
      <c r="I144" s="31">
        <f t="shared" si="3"/>
        <v>0.08917197452</v>
      </c>
    </row>
    <row r="145" ht="22.5" customHeight="1">
      <c r="A145" s="32">
        <v>46063.0</v>
      </c>
      <c r="B145" s="21" t="s">
        <v>140</v>
      </c>
      <c r="C145" s="21" t="s">
        <v>261</v>
      </c>
      <c r="D145" s="18"/>
      <c r="E145" s="21">
        <v>3.0</v>
      </c>
      <c r="F145" s="21">
        <v>3.8</v>
      </c>
      <c r="G145" s="30">
        <f t="shared" si="1"/>
        <v>3.4</v>
      </c>
      <c r="H145" s="30">
        <f t="shared" si="2"/>
        <v>0.8</v>
      </c>
      <c r="I145" s="31">
        <f t="shared" si="3"/>
        <v>0.2352941176</v>
      </c>
    </row>
    <row r="146" ht="22.5" customHeight="1">
      <c r="A146" s="32">
        <v>46063.0</v>
      </c>
      <c r="B146" s="21" t="s">
        <v>140</v>
      </c>
      <c r="C146" s="21" t="s">
        <v>262</v>
      </c>
      <c r="D146" s="18"/>
      <c r="E146" s="21">
        <v>2.6</v>
      </c>
      <c r="F146" s="21">
        <v>3.3</v>
      </c>
      <c r="G146" s="30">
        <f t="shared" si="1"/>
        <v>2.95</v>
      </c>
      <c r="H146" s="30">
        <f t="shared" si="2"/>
        <v>0.7</v>
      </c>
      <c r="I146" s="31">
        <f t="shared" si="3"/>
        <v>0.2372881356</v>
      </c>
    </row>
    <row r="147" ht="22.5" customHeight="1">
      <c r="A147" s="32">
        <v>46070.0</v>
      </c>
      <c r="B147" s="21" t="s">
        <v>136</v>
      </c>
      <c r="C147" s="21"/>
      <c r="D147" s="21" t="s">
        <v>210</v>
      </c>
      <c r="E147" s="21">
        <v>0.96</v>
      </c>
      <c r="F147" s="21">
        <v>1.47</v>
      </c>
      <c r="G147" s="30">
        <f t="shared" si="1"/>
        <v>1.215</v>
      </c>
      <c r="H147" s="30">
        <f t="shared" si="2"/>
        <v>0.51</v>
      </c>
      <c r="I147" s="31">
        <f t="shared" si="3"/>
        <v>0.4197530864</v>
      </c>
    </row>
    <row r="148" ht="22.5" customHeight="1">
      <c r="A148" s="32">
        <v>46070.0</v>
      </c>
      <c r="B148" s="21" t="s">
        <v>136</v>
      </c>
      <c r="C148" s="21"/>
      <c r="D148" s="21" t="s">
        <v>211</v>
      </c>
      <c r="E148" s="21">
        <v>1.48</v>
      </c>
      <c r="F148" s="21">
        <v>1.59</v>
      </c>
      <c r="G148" s="30">
        <f t="shared" si="1"/>
        <v>1.535</v>
      </c>
      <c r="H148" s="30">
        <f t="shared" si="2"/>
        <v>0.11</v>
      </c>
      <c r="I148" s="31">
        <f t="shared" si="3"/>
        <v>0.07166123779</v>
      </c>
    </row>
    <row r="149" ht="22.5" customHeight="1">
      <c r="A149" s="32">
        <v>46070.0</v>
      </c>
      <c r="B149" s="21" t="s">
        <v>136</v>
      </c>
      <c r="C149" s="21"/>
      <c r="D149" s="21" t="s">
        <v>255</v>
      </c>
      <c r="E149" s="21">
        <v>1.6</v>
      </c>
      <c r="F149" s="21">
        <v>1.76</v>
      </c>
      <c r="G149" s="30">
        <f t="shared" si="1"/>
        <v>1.68</v>
      </c>
      <c r="H149" s="30">
        <f t="shared" si="2"/>
        <v>0.16</v>
      </c>
      <c r="I149" s="31">
        <f t="shared" si="3"/>
        <v>0.09523809524</v>
      </c>
    </row>
    <row r="150" ht="22.5" customHeight="1">
      <c r="A150" s="32">
        <v>46070.0</v>
      </c>
      <c r="B150" s="21" t="s">
        <v>139</v>
      </c>
      <c r="C150" s="21"/>
      <c r="D150" s="21" t="s">
        <v>256</v>
      </c>
      <c r="E150" s="21">
        <v>1.9</v>
      </c>
      <c r="F150" s="21">
        <v>2.02</v>
      </c>
      <c r="G150" s="30">
        <f t="shared" si="1"/>
        <v>1.96</v>
      </c>
      <c r="H150" s="30">
        <f t="shared" si="2"/>
        <v>0.12</v>
      </c>
      <c r="I150" s="31">
        <f t="shared" si="3"/>
        <v>0.0612244898</v>
      </c>
    </row>
    <row r="151" ht="22.5" customHeight="1">
      <c r="A151" s="32">
        <v>46070.0</v>
      </c>
      <c r="B151" s="21" t="s">
        <v>139</v>
      </c>
      <c r="C151" s="21"/>
      <c r="D151" s="21" t="s">
        <v>257</v>
      </c>
      <c r="E151" s="21">
        <v>1.55</v>
      </c>
      <c r="F151" s="21">
        <v>1.89</v>
      </c>
      <c r="G151" s="30">
        <f t="shared" si="1"/>
        <v>1.72</v>
      </c>
      <c r="H151" s="30">
        <f t="shared" si="2"/>
        <v>0.34</v>
      </c>
      <c r="I151" s="31">
        <f t="shared" si="3"/>
        <v>0.1976744186</v>
      </c>
    </row>
    <row r="152" ht="22.5" customHeight="1">
      <c r="A152" s="32">
        <v>46070.0</v>
      </c>
      <c r="B152" s="21" t="s">
        <v>133</v>
      </c>
      <c r="C152" s="21"/>
      <c r="D152" s="21" t="s">
        <v>245</v>
      </c>
      <c r="E152" s="21">
        <v>1500.0</v>
      </c>
      <c r="F152" s="21">
        <v>5000.0</v>
      </c>
      <c r="G152" s="30">
        <f t="shared" si="1"/>
        <v>3250</v>
      </c>
      <c r="H152" s="30">
        <f t="shared" si="2"/>
        <v>3500</v>
      </c>
      <c r="I152" s="31">
        <f t="shared" si="3"/>
        <v>1.076923077</v>
      </c>
    </row>
    <row r="153" ht="22.5" customHeight="1">
      <c r="A153" s="32">
        <v>46070.0</v>
      </c>
      <c r="B153" s="21" t="s">
        <v>133</v>
      </c>
      <c r="C153" s="21"/>
      <c r="D153" s="21" t="s">
        <v>149</v>
      </c>
      <c r="E153" s="21">
        <v>1200.0</v>
      </c>
      <c r="F153" s="21">
        <v>4300.0</v>
      </c>
      <c r="G153" s="30">
        <f t="shared" si="1"/>
        <v>2750</v>
      </c>
      <c r="H153" s="30">
        <f t="shared" si="2"/>
        <v>3100</v>
      </c>
      <c r="I153" s="31">
        <f t="shared" si="3"/>
        <v>1.127272727</v>
      </c>
    </row>
    <row r="154" ht="22.5" customHeight="1">
      <c r="A154" s="32">
        <v>46070.0</v>
      </c>
      <c r="B154" s="21" t="s">
        <v>120</v>
      </c>
      <c r="C154" s="21" t="s">
        <v>258</v>
      </c>
      <c r="D154" s="21" t="s">
        <v>259</v>
      </c>
      <c r="E154" s="21">
        <v>5.8</v>
      </c>
      <c r="F154" s="21">
        <v>7.9</v>
      </c>
      <c r="G154" s="30">
        <f t="shared" si="1"/>
        <v>6.85</v>
      </c>
      <c r="H154" s="30">
        <f t="shared" si="2"/>
        <v>2.1</v>
      </c>
      <c r="I154" s="31">
        <f t="shared" si="3"/>
        <v>0.3065693431</v>
      </c>
    </row>
    <row r="155" ht="22.5" customHeight="1">
      <c r="A155" s="32">
        <v>46070.0</v>
      </c>
      <c r="B155" s="21" t="s">
        <v>120</v>
      </c>
      <c r="C155" s="21" t="s">
        <v>258</v>
      </c>
      <c r="D155" s="21" t="s">
        <v>260</v>
      </c>
      <c r="E155" s="21">
        <v>4.3</v>
      </c>
      <c r="F155" s="21">
        <v>5.78</v>
      </c>
      <c r="G155" s="30">
        <f t="shared" si="1"/>
        <v>5.04</v>
      </c>
      <c r="H155" s="30">
        <f t="shared" si="2"/>
        <v>1.48</v>
      </c>
      <c r="I155" s="31">
        <f t="shared" si="3"/>
        <v>0.2936507937</v>
      </c>
    </row>
    <row r="156" ht="22.5" customHeight="1">
      <c r="A156" s="32">
        <v>46070.0</v>
      </c>
      <c r="B156" s="21" t="s">
        <v>120</v>
      </c>
      <c r="C156" s="21" t="s">
        <v>224</v>
      </c>
      <c r="D156" s="21" t="s">
        <v>259</v>
      </c>
      <c r="E156" s="21">
        <v>5.5</v>
      </c>
      <c r="F156" s="21">
        <v>6.5</v>
      </c>
      <c r="G156" s="30">
        <f t="shared" si="1"/>
        <v>6</v>
      </c>
      <c r="H156" s="30">
        <f t="shared" si="2"/>
        <v>1</v>
      </c>
      <c r="I156" s="31">
        <f t="shared" si="3"/>
        <v>0.1666666667</v>
      </c>
    </row>
    <row r="157" ht="22.5" customHeight="1">
      <c r="A157" s="32">
        <v>46070.0</v>
      </c>
      <c r="B157" s="21" t="s">
        <v>120</v>
      </c>
      <c r="C157" s="21" t="s">
        <v>224</v>
      </c>
      <c r="D157" s="21" t="s">
        <v>260</v>
      </c>
      <c r="E157" s="21">
        <v>4.0</v>
      </c>
      <c r="F157" s="21">
        <v>5.48</v>
      </c>
      <c r="G157" s="30">
        <f t="shared" si="1"/>
        <v>4.74</v>
      </c>
      <c r="H157" s="30">
        <f t="shared" si="2"/>
        <v>1.48</v>
      </c>
      <c r="I157" s="31">
        <f t="shared" si="3"/>
        <v>0.3122362869</v>
      </c>
    </row>
    <row r="158" ht="22.5" customHeight="1">
      <c r="A158" s="32">
        <v>46070.0</v>
      </c>
      <c r="B158" s="21" t="s">
        <v>120</v>
      </c>
      <c r="C158" s="21" t="s">
        <v>225</v>
      </c>
      <c r="D158" s="21" t="s">
        <v>259</v>
      </c>
      <c r="E158" s="21">
        <v>4.9</v>
      </c>
      <c r="F158" s="21">
        <v>6.2</v>
      </c>
      <c r="G158" s="30">
        <f t="shared" si="1"/>
        <v>5.55</v>
      </c>
      <c r="H158" s="30">
        <f t="shared" si="2"/>
        <v>1.3</v>
      </c>
      <c r="I158" s="31">
        <f t="shared" si="3"/>
        <v>0.2342342342</v>
      </c>
    </row>
    <row r="159" ht="22.5" customHeight="1">
      <c r="A159" s="32">
        <v>46070.0</v>
      </c>
      <c r="B159" s="21" t="s">
        <v>120</v>
      </c>
      <c r="C159" s="21" t="s">
        <v>225</v>
      </c>
      <c r="D159" s="21" t="s">
        <v>260</v>
      </c>
      <c r="E159" s="21">
        <v>4.0</v>
      </c>
      <c r="F159" s="21">
        <v>4.88</v>
      </c>
      <c r="G159" s="30">
        <f t="shared" si="1"/>
        <v>4.44</v>
      </c>
      <c r="H159" s="30">
        <f t="shared" si="2"/>
        <v>0.88</v>
      </c>
      <c r="I159" s="31">
        <f t="shared" si="3"/>
        <v>0.1981981982</v>
      </c>
    </row>
    <row r="160" ht="22.5" customHeight="1">
      <c r="A160" s="32">
        <v>46070.0</v>
      </c>
      <c r="B160" s="21" t="s">
        <v>120</v>
      </c>
      <c r="C160" s="21" t="s">
        <v>226</v>
      </c>
      <c r="D160" s="21" t="s">
        <v>259</v>
      </c>
      <c r="E160" s="21">
        <v>4.3</v>
      </c>
      <c r="F160" s="21">
        <v>5.2</v>
      </c>
      <c r="G160" s="30">
        <f t="shared" si="1"/>
        <v>4.75</v>
      </c>
      <c r="H160" s="30">
        <f t="shared" si="2"/>
        <v>0.9</v>
      </c>
      <c r="I160" s="31">
        <f t="shared" si="3"/>
        <v>0.1894736842</v>
      </c>
    </row>
    <row r="161" ht="22.5" customHeight="1">
      <c r="A161" s="32">
        <v>46070.0</v>
      </c>
      <c r="B161" s="21" t="s">
        <v>120</v>
      </c>
      <c r="C161" s="21" t="s">
        <v>226</v>
      </c>
      <c r="D161" s="21" t="s">
        <v>260</v>
      </c>
      <c r="E161" s="21">
        <v>3.3</v>
      </c>
      <c r="F161" s="21">
        <v>4.28</v>
      </c>
      <c r="G161" s="30">
        <f t="shared" si="1"/>
        <v>3.79</v>
      </c>
      <c r="H161" s="30">
        <f t="shared" si="2"/>
        <v>0.98</v>
      </c>
      <c r="I161" s="31">
        <f t="shared" si="3"/>
        <v>0.2585751979</v>
      </c>
    </row>
    <row r="162" ht="22.5" customHeight="1">
      <c r="A162" s="32">
        <v>46070.0</v>
      </c>
      <c r="B162" s="21" t="s">
        <v>120</v>
      </c>
      <c r="C162" s="21" t="s">
        <v>227</v>
      </c>
      <c r="D162" s="21" t="s">
        <v>259</v>
      </c>
      <c r="E162" s="21">
        <v>3.8</v>
      </c>
      <c r="F162" s="21">
        <v>4.6</v>
      </c>
      <c r="G162" s="30">
        <f t="shared" si="1"/>
        <v>4.2</v>
      </c>
      <c r="H162" s="30">
        <f t="shared" si="2"/>
        <v>0.8</v>
      </c>
      <c r="I162" s="31">
        <f t="shared" si="3"/>
        <v>0.1904761905</v>
      </c>
    </row>
    <row r="163" ht="22.5" customHeight="1">
      <c r="A163" s="32">
        <v>46070.0</v>
      </c>
      <c r="B163" s="21" t="s">
        <v>120</v>
      </c>
      <c r="C163" s="21" t="s">
        <v>227</v>
      </c>
      <c r="D163" s="21" t="s">
        <v>260</v>
      </c>
      <c r="E163" s="21">
        <v>3.2</v>
      </c>
      <c r="F163" s="21">
        <v>3.78</v>
      </c>
      <c r="G163" s="30">
        <f t="shared" si="1"/>
        <v>3.49</v>
      </c>
      <c r="H163" s="30">
        <f t="shared" si="2"/>
        <v>0.58</v>
      </c>
      <c r="I163" s="31">
        <f t="shared" si="3"/>
        <v>0.1661891117</v>
      </c>
    </row>
    <row r="164" ht="22.5" customHeight="1">
      <c r="A164" s="32">
        <v>46070.0</v>
      </c>
      <c r="B164" s="21" t="s">
        <v>129</v>
      </c>
      <c r="C164" s="21" t="s">
        <v>258</v>
      </c>
      <c r="D164" s="21" t="s">
        <v>259</v>
      </c>
      <c r="E164" s="21">
        <v>5.3</v>
      </c>
      <c r="F164" s="21">
        <v>6.7</v>
      </c>
      <c r="G164" s="30">
        <f t="shared" si="1"/>
        <v>6</v>
      </c>
      <c r="H164" s="30">
        <f t="shared" si="2"/>
        <v>1.4</v>
      </c>
      <c r="I164" s="31">
        <f t="shared" si="3"/>
        <v>0.2333333333</v>
      </c>
    </row>
    <row r="165" ht="22.5" customHeight="1">
      <c r="A165" s="32">
        <v>46070.0</v>
      </c>
      <c r="B165" s="21" t="s">
        <v>129</v>
      </c>
      <c r="C165" s="21" t="s">
        <v>258</v>
      </c>
      <c r="D165" s="21" t="s">
        <v>260</v>
      </c>
      <c r="E165" s="21">
        <v>3.6</v>
      </c>
      <c r="F165" s="21">
        <v>5.28</v>
      </c>
      <c r="G165" s="30">
        <f t="shared" si="1"/>
        <v>4.44</v>
      </c>
      <c r="H165" s="30">
        <f t="shared" si="2"/>
        <v>1.68</v>
      </c>
      <c r="I165" s="31">
        <f t="shared" si="3"/>
        <v>0.3783783784</v>
      </c>
    </row>
    <row r="166" ht="22.5" customHeight="1">
      <c r="A166" s="32">
        <v>46070.0</v>
      </c>
      <c r="B166" s="21" t="s">
        <v>129</v>
      </c>
      <c r="C166" s="21" t="s">
        <v>224</v>
      </c>
      <c r="D166" s="21" t="s">
        <v>259</v>
      </c>
      <c r="E166" s="21">
        <v>4.8</v>
      </c>
      <c r="F166" s="21">
        <v>5.9</v>
      </c>
      <c r="G166" s="30">
        <f t="shared" si="1"/>
        <v>5.35</v>
      </c>
      <c r="H166" s="30">
        <f t="shared" si="2"/>
        <v>1.1</v>
      </c>
      <c r="I166" s="31">
        <f t="shared" si="3"/>
        <v>0.2056074766</v>
      </c>
    </row>
    <row r="167" ht="22.5" customHeight="1">
      <c r="A167" s="32">
        <v>46070.0</v>
      </c>
      <c r="B167" s="21" t="s">
        <v>129</v>
      </c>
      <c r="C167" s="21" t="s">
        <v>224</v>
      </c>
      <c r="D167" s="21" t="s">
        <v>260</v>
      </c>
      <c r="E167" s="21">
        <v>3.5</v>
      </c>
      <c r="F167" s="21">
        <v>4.78</v>
      </c>
      <c r="G167" s="30">
        <f t="shared" si="1"/>
        <v>4.14</v>
      </c>
      <c r="H167" s="30">
        <f t="shared" si="2"/>
        <v>1.28</v>
      </c>
      <c r="I167" s="31">
        <f t="shared" si="3"/>
        <v>0.309178744</v>
      </c>
    </row>
    <row r="168" ht="22.5" customHeight="1">
      <c r="A168" s="32">
        <v>46070.0</v>
      </c>
      <c r="B168" s="21" t="s">
        <v>129</v>
      </c>
      <c r="C168" s="21" t="s">
        <v>225</v>
      </c>
      <c r="D168" s="21" t="s">
        <v>259</v>
      </c>
      <c r="E168" s="21">
        <v>4.4</v>
      </c>
      <c r="F168" s="21">
        <v>5.05</v>
      </c>
      <c r="G168" s="30">
        <f t="shared" si="1"/>
        <v>4.725</v>
      </c>
      <c r="H168" s="30">
        <f t="shared" si="2"/>
        <v>0.65</v>
      </c>
      <c r="I168" s="31">
        <f t="shared" si="3"/>
        <v>0.1375661376</v>
      </c>
    </row>
    <row r="169" ht="22.5" customHeight="1">
      <c r="A169" s="32">
        <v>46070.0</v>
      </c>
      <c r="B169" s="21" t="s">
        <v>129</v>
      </c>
      <c r="C169" s="21" t="s">
        <v>225</v>
      </c>
      <c r="D169" s="21" t="s">
        <v>260</v>
      </c>
      <c r="E169" s="21">
        <v>3.5</v>
      </c>
      <c r="F169" s="21">
        <v>4.38</v>
      </c>
      <c r="G169" s="30">
        <f t="shared" si="1"/>
        <v>3.94</v>
      </c>
      <c r="H169" s="30">
        <f t="shared" si="2"/>
        <v>0.88</v>
      </c>
      <c r="I169" s="31">
        <f t="shared" si="3"/>
        <v>0.2233502538</v>
      </c>
    </row>
    <row r="170" ht="22.5" customHeight="1">
      <c r="A170" s="32">
        <v>46070.0</v>
      </c>
      <c r="B170" s="21" t="s">
        <v>129</v>
      </c>
      <c r="C170" s="21" t="s">
        <v>226</v>
      </c>
      <c r="D170" s="21" t="s">
        <v>259</v>
      </c>
      <c r="E170" s="21">
        <v>3.7</v>
      </c>
      <c r="F170" s="21">
        <v>4.85</v>
      </c>
      <c r="G170" s="30">
        <f t="shared" si="1"/>
        <v>4.275</v>
      </c>
      <c r="H170" s="30">
        <f t="shared" si="2"/>
        <v>1.15</v>
      </c>
      <c r="I170" s="31">
        <f t="shared" si="3"/>
        <v>0.269005848</v>
      </c>
    </row>
    <row r="171" ht="22.5" customHeight="1">
      <c r="A171" s="32">
        <v>46070.0</v>
      </c>
      <c r="B171" s="21" t="s">
        <v>129</v>
      </c>
      <c r="C171" s="21" t="s">
        <v>226</v>
      </c>
      <c r="D171" s="21" t="s">
        <v>260</v>
      </c>
      <c r="E171" s="21">
        <v>3.2</v>
      </c>
      <c r="F171" s="21">
        <v>3.68</v>
      </c>
      <c r="G171" s="30">
        <f t="shared" si="1"/>
        <v>3.44</v>
      </c>
      <c r="H171" s="30">
        <f t="shared" si="2"/>
        <v>0.48</v>
      </c>
      <c r="I171" s="31">
        <f t="shared" si="3"/>
        <v>0.1395348837</v>
      </c>
    </row>
    <row r="172" ht="22.5" customHeight="1">
      <c r="A172" s="32">
        <v>46070.0</v>
      </c>
      <c r="B172" s="21" t="s">
        <v>129</v>
      </c>
      <c r="C172" s="21" t="s">
        <v>227</v>
      </c>
      <c r="D172" s="21" t="s">
        <v>259</v>
      </c>
      <c r="E172" s="21">
        <v>3.4</v>
      </c>
      <c r="F172" s="21">
        <v>4.0</v>
      </c>
      <c r="G172" s="30">
        <f t="shared" si="1"/>
        <v>3.7</v>
      </c>
      <c r="H172" s="30">
        <f t="shared" si="2"/>
        <v>0.6</v>
      </c>
      <c r="I172" s="31">
        <f t="shared" si="3"/>
        <v>0.1621621622</v>
      </c>
    </row>
    <row r="173" ht="22.5" customHeight="1">
      <c r="A173" s="32">
        <v>46070.0</v>
      </c>
      <c r="B173" s="21" t="s">
        <v>129</v>
      </c>
      <c r="C173" s="21" t="s">
        <v>227</v>
      </c>
      <c r="D173" s="21" t="s">
        <v>260</v>
      </c>
      <c r="E173" s="21">
        <v>3.1</v>
      </c>
      <c r="F173" s="21">
        <v>3.38</v>
      </c>
      <c r="G173" s="30">
        <f t="shared" si="1"/>
        <v>3.24</v>
      </c>
      <c r="H173" s="30">
        <f t="shared" si="2"/>
        <v>0.28</v>
      </c>
      <c r="I173" s="31">
        <f t="shared" si="3"/>
        <v>0.08641975309</v>
      </c>
    </row>
    <row r="174" ht="22.5" customHeight="1">
      <c r="A174" s="32">
        <v>46070.0</v>
      </c>
      <c r="B174" s="21" t="s">
        <v>140</v>
      </c>
      <c r="C174" s="21" t="s">
        <v>261</v>
      </c>
      <c r="D174" s="18"/>
      <c r="E174" s="21">
        <v>3.17</v>
      </c>
      <c r="F174" s="21">
        <v>3.85</v>
      </c>
      <c r="G174" s="30">
        <f t="shared" si="1"/>
        <v>3.51</v>
      </c>
      <c r="H174" s="30">
        <f t="shared" si="2"/>
        <v>0.68</v>
      </c>
      <c r="I174" s="31">
        <f t="shared" si="3"/>
        <v>0.1937321937</v>
      </c>
    </row>
    <row r="175" ht="22.5" customHeight="1">
      <c r="A175" s="32">
        <v>46070.0</v>
      </c>
      <c r="B175" s="21" t="s">
        <v>140</v>
      </c>
      <c r="C175" s="21" t="s">
        <v>262</v>
      </c>
      <c r="D175" s="18"/>
      <c r="E175" s="21">
        <v>2.6</v>
      </c>
      <c r="F175" s="21">
        <v>3.3</v>
      </c>
      <c r="G175" s="30">
        <f t="shared" si="1"/>
        <v>2.95</v>
      </c>
      <c r="H175" s="30">
        <f t="shared" si="2"/>
        <v>0.7</v>
      </c>
      <c r="I175" s="31">
        <f t="shared" si="3"/>
        <v>0.2372881356</v>
      </c>
    </row>
  </sheetData>
  <dataValidations>
    <dataValidation type="custom" allowBlank="1" showDropDown="1" sqref="A2:A175">
      <formula1>OR(NOT(ISERROR(DATEVALUE(A2))), AND(ISNUMBER(A2), LEFT(CELL("format", A2))="D"))</formula1>
    </dataValidation>
    <dataValidation type="custom" allowBlank="1" showDropDown="1" sqref="G2:I175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</cols>
  <sheetData>
    <row r="1" ht="22.5" customHeight="1">
      <c r="A1" s="11" t="s">
        <v>113</v>
      </c>
      <c r="B1" s="11" t="s">
        <v>114</v>
      </c>
    </row>
    <row r="2" ht="22.5" customHeight="1">
      <c r="A2" s="24">
        <v>46028.0</v>
      </c>
      <c r="B2" s="2">
        <v>2285.0</v>
      </c>
    </row>
    <row r="3" ht="22.5" customHeight="1">
      <c r="A3" s="24">
        <v>46035.0</v>
      </c>
      <c r="B3" s="2">
        <v>2327.0</v>
      </c>
    </row>
    <row r="4" ht="22.5" customHeight="1">
      <c r="A4" s="24">
        <v>46042.0</v>
      </c>
      <c r="B4" s="2">
        <v>1889.0</v>
      </c>
    </row>
    <row r="5" ht="22.5" customHeight="1">
      <c r="A5" s="24">
        <v>46056.0</v>
      </c>
      <c r="B5" s="2">
        <v>1835.0</v>
      </c>
    </row>
    <row r="6" ht="22.5" customHeight="1">
      <c r="A6" s="24">
        <v>46063.0</v>
      </c>
      <c r="B6" s="2">
        <v>1722.0</v>
      </c>
    </row>
  </sheetData>
  <dataValidations>
    <dataValidation type="custom" allowBlank="1" showDropDown="1" sqref="A2:A6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3" max="3" width="15.5"/>
    <col customWidth="1" min="4" max="4" width="18.75"/>
    <col customWidth="1" min="5" max="5" width="12.75"/>
    <col customWidth="1" min="6" max="6" width="13.13"/>
  </cols>
  <sheetData>
    <row r="1" ht="22.5" customHeight="1">
      <c r="A1" s="11" t="s">
        <v>113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  <c r="G1" s="13" t="s">
        <v>188</v>
      </c>
      <c r="H1" s="13" t="s">
        <v>189</v>
      </c>
      <c r="I1" s="13" t="s">
        <v>190</v>
      </c>
    </row>
    <row r="2" ht="22.5" customHeight="1">
      <c r="A2" s="24">
        <v>46028.0</v>
      </c>
      <c r="B2" s="2" t="s">
        <v>136</v>
      </c>
      <c r="D2" s="2" t="s">
        <v>263</v>
      </c>
      <c r="E2" s="2">
        <v>1.49</v>
      </c>
      <c r="F2" s="2">
        <v>1.8</v>
      </c>
      <c r="G2" s="30">
        <f t="shared" ref="G2:G105" si="1">(E2+F2)/2</f>
        <v>1.645</v>
      </c>
      <c r="H2" s="30">
        <f t="shared" ref="H2:H105" si="2">F2-E2</f>
        <v>0.31</v>
      </c>
      <c r="I2" s="31">
        <f t="shared" ref="I2:I105" si="3">(F2-E2)/G2</f>
        <v>0.188449848</v>
      </c>
    </row>
    <row r="3" ht="22.5" customHeight="1">
      <c r="A3" s="24">
        <v>46028.0</v>
      </c>
      <c r="B3" s="2" t="s">
        <v>136</v>
      </c>
      <c r="D3" s="2" t="s">
        <v>264</v>
      </c>
      <c r="E3" s="2">
        <v>1.2</v>
      </c>
      <c r="F3" s="2">
        <v>1.3</v>
      </c>
      <c r="G3" s="30">
        <f t="shared" si="1"/>
        <v>1.25</v>
      </c>
      <c r="H3" s="30">
        <f t="shared" si="2"/>
        <v>0.1</v>
      </c>
      <c r="I3" s="31">
        <f t="shared" si="3"/>
        <v>0.08</v>
      </c>
    </row>
    <row r="4" ht="22.5" customHeight="1">
      <c r="A4" s="24">
        <v>46028.0</v>
      </c>
      <c r="B4" s="2" t="s">
        <v>136</v>
      </c>
      <c r="D4" s="2" t="s">
        <v>265</v>
      </c>
      <c r="E4" s="2">
        <v>1.0</v>
      </c>
      <c r="F4" s="2">
        <v>1.1</v>
      </c>
      <c r="G4" s="30">
        <f t="shared" si="1"/>
        <v>1.05</v>
      </c>
      <c r="H4" s="30">
        <f t="shared" si="2"/>
        <v>0.1</v>
      </c>
      <c r="I4" s="31">
        <f t="shared" si="3"/>
        <v>0.09523809524</v>
      </c>
    </row>
    <row r="5" ht="22.5" customHeight="1">
      <c r="A5" s="24">
        <v>46028.0</v>
      </c>
      <c r="B5" s="2" t="s">
        <v>139</v>
      </c>
      <c r="D5" s="2" t="s">
        <v>263</v>
      </c>
      <c r="E5" s="2">
        <v>1.68</v>
      </c>
      <c r="F5" s="2">
        <v>1.88</v>
      </c>
      <c r="G5" s="30">
        <f t="shared" si="1"/>
        <v>1.78</v>
      </c>
      <c r="H5" s="30">
        <f t="shared" si="2"/>
        <v>0.2</v>
      </c>
      <c r="I5" s="31">
        <f t="shared" si="3"/>
        <v>0.1123595506</v>
      </c>
    </row>
    <row r="6" ht="22.5" customHeight="1">
      <c r="A6" s="24">
        <v>46028.0</v>
      </c>
      <c r="B6" s="2" t="s">
        <v>139</v>
      </c>
      <c r="D6" s="2" t="s">
        <v>266</v>
      </c>
      <c r="E6" s="2">
        <v>1.4</v>
      </c>
      <c r="F6" s="2">
        <v>1.6</v>
      </c>
      <c r="G6" s="30">
        <f t="shared" si="1"/>
        <v>1.5</v>
      </c>
      <c r="H6" s="30">
        <f t="shared" si="2"/>
        <v>0.2</v>
      </c>
      <c r="I6" s="31">
        <f t="shared" si="3"/>
        <v>0.1333333333</v>
      </c>
    </row>
    <row r="7" ht="22.5" customHeight="1">
      <c r="A7" s="24">
        <v>46028.0</v>
      </c>
      <c r="B7" s="2" t="s">
        <v>133</v>
      </c>
      <c r="D7" s="2" t="s">
        <v>267</v>
      </c>
      <c r="E7" s="2">
        <v>2600.0</v>
      </c>
      <c r="F7" s="2">
        <v>3500.0</v>
      </c>
      <c r="G7" s="30">
        <f t="shared" si="1"/>
        <v>3050</v>
      </c>
      <c r="H7" s="30">
        <f t="shared" si="2"/>
        <v>900</v>
      </c>
      <c r="I7" s="31">
        <f t="shared" si="3"/>
        <v>0.2950819672</v>
      </c>
    </row>
    <row r="8" ht="22.5" customHeight="1">
      <c r="A8" s="24">
        <v>46028.0</v>
      </c>
      <c r="B8" s="2" t="s">
        <v>133</v>
      </c>
      <c r="D8" s="2" t="s">
        <v>245</v>
      </c>
      <c r="E8" s="2">
        <v>2850.0</v>
      </c>
      <c r="F8" s="2">
        <v>3700.0</v>
      </c>
      <c r="G8" s="30">
        <f t="shared" si="1"/>
        <v>3275</v>
      </c>
      <c r="H8" s="30">
        <f t="shared" si="2"/>
        <v>850</v>
      </c>
      <c r="I8" s="31">
        <f t="shared" si="3"/>
        <v>0.2595419847</v>
      </c>
    </row>
    <row r="9" ht="22.5" customHeight="1">
      <c r="A9" s="24">
        <v>46028.0</v>
      </c>
      <c r="B9" s="2" t="s">
        <v>120</v>
      </c>
      <c r="C9" s="2" t="s">
        <v>144</v>
      </c>
      <c r="D9" s="2" t="s">
        <v>268</v>
      </c>
      <c r="E9" s="2">
        <v>5.85</v>
      </c>
      <c r="F9" s="2">
        <v>9.0</v>
      </c>
      <c r="G9" s="30">
        <f t="shared" si="1"/>
        <v>7.425</v>
      </c>
      <c r="H9" s="30">
        <f t="shared" si="2"/>
        <v>3.15</v>
      </c>
      <c r="I9" s="31">
        <f t="shared" si="3"/>
        <v>0.4242424242</v>
      </c>
    </row>
    <row r="10" ht="22.5" customHeight="1">
      <c r="A10" s="24">
        <v>46028.0</v>
      </c>
      <c r="B10" s="2" t="s">
        <v>120</v>
      </c>
      <c r="C10" s="2" t="s">
        <v>223</v>
      </c>
      <c r="D10" s="2" t="s">
        <v>268</v>
      </c>
      <c r="E10" s="2">
        <v>5.44</v>
      </c>
      <c r="F10" s="2">
        <v>7.5</v>
      </c>
      <c r="G10" s="30">
        <f t="shared" si="1"/>
        <v>6.47</v>
      </c>
      <c r="H10" s="30">
        <f t="shared" si="2"/>
        <v>2.06</v>
      </c>
      <c r="I10" s="31">
        <f t="shared" si="3"/>
        <v>0.3183925811</v>
      </c>
    </row>
    <row r="11" ht="22.5" customHeight="1">
      <c r="A11" s="24">
        <v>46028.0</v>
      </c>
      <c r="B11" s="2" t="s">
        <v>120</v>
      </c>
      <c r="C11" s="2" t="s">
        <v>224</v>
      </c>
      <c r="D11" s="2" t="s">
        <v>268</v>
      </c>
      <c r="E11" s="2">
        <v>4.9</v>
      </c>
      <c r="F11" s="2">
        <v>6.4</v>
      </c>
      <c r="G11" s="30">
        <f t="shared" si="1"/>
        <v>5.65</v>
      </c>
      <c r="H11" s="30">
        <f t="shared" si="2"/>
        <v>1.5</v>
      </c>
      <c r="I11" s="31">
        <f t="shared" si="3"/>
        <v>0.2654867257</v>
      </c>
    </row>
    <row r="12" ht="22.5" customHeight="1">
      <c r="A12" s="24">
        <v>46028.0</v>
      </c>
      <c r="B12" s="2" t="s">
        <v>120</v>
      </c>
      <c r="C12" s="2" t="s">
        <v>225</v>
      </c>
      <c r="D12" s="2" t="s">
        <v>268</v>
      </c>
      <c r="E12" s="2">
        <v>4.33</v>
      </c>
      <c r="F12" s="2">
        <v>5.65</v>
      </c>
      <c r="G12" s="30">
        <f t="shared" si="1"/>
        <v>4.99</v>
      </c>
      <c r="H12" s="30">
        <f t="shared" si="2"/>
        <v>1.32</v>
      </c>
      <c r="I12" s="31">
        <f t="shared" si="3"/>
        <v>0.2645290581</v>
      </c>
    </row>
    <row r="13" ht="22.5" customHeight="1">
      <c r="A13" s="24">
        <v>46028.0</v>
      </c>
      <c r="B13" s="2" t="s">
        <v>120</v>
      </c>
      <c r="C13" s="2" t="s">
        <v>226</v>
      </c>
      <c r="D13" s="2" t="s">
        <v>268</v>
      </c>
      <c r="E13" s="2">
        <v>3.87</v>
      </c>
      <c r="F13" s="2">
        <v>4.7</v>
      </c>
      <c r="G13" s="30">
        <f t="shared" si="1"/>
        <v>4.285</v>
      </c>
      <c r="H13" s="30">
        <f t="shared" si="2"/>
        <v>0.83</v>
      </c>
      <c r="I13" s="31">
        <f t="shared" si="3"/>
        <v>0.1936989498</v>
      </c>
    </row>
    <row r="14" ht="22.5" customHeight="1">
      <c r="A14" s="24">
        <v>46028.0</v>
      </c>
      <c r="B14" s="2" t="s">
        <v>120</v>
      </c>
      <c r="C14" s="2" t="s">
        <v>227</v>
      </c>
      <c r="D14" s="2" t="s">
        <v>268</v>
      </c>
      <c r="E14" s="2">
        <v>3.62</v>
      </c>
      <c r="F14" s="2">
        <v>4.25</v>
      </c>
      <c r="G14" s="30">
        <f t="shared" si="1"/>
        <v>3.935</v>
      </c>
      <c r="H14" s="30">
        <f t="shared" si="2"/>
        <v>0.63</v>
      </c>
      <c r="I14" s="31">
        <f t="shared" si="3"/>
        <v>0.1601016518</v>
      </c>
    </row>
    <row r="15" ht="22.5" customHeight="1">
      <c r="A15" s="24">
        <v>46028.0</v>
      </c>
      <c r="B15" s="2" t="s">
        <v>120</v>
      </c>
      <c r="C15" s="2" t="s">
        <v>269</v>
      </c>
      <c r="D15" s="2" t="s">
        <v>268</v>
      </c>
      <c r="E15" s="2">
        <v>3.22</v>
      </c>
      <c r="F15" s="2">
        <v>3.73</v>
      </c>
      <c r="G15" s="30">
        <f t="shared" si="1"/>
        <v>3.475</v>
      </c>
      <c r="H15" s="30">
        <f t="shared" si="2"/>
        <v>0.51</v>
      </c>
      <c r="I15" s="31">
        <f t="shared" si="3"/>
        <v>0.1467625899</v>
      </c>
    </row>
    <row r="16" ht="22.5" customHeight="1">
      <c r="A16" s="24">
        <v>46028.0</v>
      </c>
      <c r="B16" s="2" t="s">
        <v>129</v>
      </c>
      <c r="C16" s="2" t="s">
        <v>144</v>
      </c>
      <c r="D16" s="2" t="s">
        <v>268</v>
      </c>
      <c r="E16" s="2">
        <v>5.65</v>
      </c>
      <c r="F16" s="2">
        <v>7.4</v>
      </c>
      <c r="G16" s="30">
        <f t="shared" si="1"/>
        <v>6.525</v>
      </c>
      <c r="H16" s="30">
        <f t="shared" si="2"/>
        <v>1.75</v>
      </c>
      <c r="I16" s="31">
        <f t="shared" si="3"/>
        <v>0.2681992337</v>
      </c>
    </row>
    <row r="17" ht="22.5" customHeight="1">
      <c r="A17" s="24">
        <v>46028.0</v>
      </c>
      <c r="B17" s="2" t="s">
        <v>129</v>
      </c>
      <c r="C17" s="2" t="s">
        <v>223</v>
      </c>
      <c r="D17" s="2" t="s">
        <v>268</v>
      </c>
      <c r="E17" s="2">
        <v>4.87</v>
      </c>
      <c r="F17" s="2">
        <v>6.8</v>
      </c>
      <c r="G17" s="30">
        <f t="shared" si="1"/>
        <v>5.835</v>
      </c>
      <c r="H17" s="30">
        <f t="shared" si="2"/>
        <v>1.93</v>
      </c>
      <c r="I17" s="31">
        <f t="shared" si="3"/>
        <v>0.3307626392</v>
      </c>
    </row>
    <row r="18" ht="22.5" customHeight="1">
      <c r="A18" s="24">
        <v>46028.0</v>
      </c>
      <c r="B18" s="2" t="s">
        <v>129</v>
      </c>
      <c r="C18" s="2" t="s">
        <v>224</v>
      </c>
      <c r="D18" s="2" t="s">
        <v>268</v>
      </c>
      <c r="E18" s="2">
        <v>4.39</v>
      </c>
      <c r="F18" s="2">
        <v>6.1</v>
      </c>
      <c r="G18" s="30">
        <f t="shared" si="1"/>
        <v>5.245</v>
      </c>
      <c r="H18" s="30">
        <f t="shared" si="2"/>
        <v>1.71</v>
      </c>
      <c r="I18" s="31">
        <f t="shared" si="3"/>
        <v>0.3260247855</v>
      </c>
    </row>
    <row r="19" ht="22.5" customHeight="1">
      <c r="A19" s="24">
        <v>46028.0</v>
      </c>
      <c r="B19" s="2" t="s">
        <v>129</v>
      </c>
      <c r="C19" s="2" t="s">
        <v>225</v>
      </c>
      <c r="D19" s="2" t="s">
        <v>268</v>
      </c>
      <c r="E19" s="2">
        <v>3.94</v>
      </c>
      <c r="F19" s="2">
        <v>4.85</v>
      </c>
      <c r="G19" s="30">
        <f t="shared" si="1"/>
        <v>4.395</v>
      </c>
      <c r="H19" s="30">
        <f t="shared" si="2"/>
        <v>0.91</v>
      </c>
      <c r="I19" s="31">
        <f t="shared" si="3"/>
        <v>0.2070534699</v>
      </c>
    </row>
    <row r="20" ht="22.5" customHeight="1">
      <c r="A20" s="24">
        <v>46028.0</v>
      </c>
      <c r="B20" s="2" t="s">
        <v>129</v>
      </c>
      <c r="C20" s="2" t="s">
        <v>226</v>
      </c>
      <c r="D20" s="2" t="s">
        <v>268</v>
      </c>
      <c r="E20" s="2">
        <v>3.71</v>
      </c>
      <c r="F20" s="2">
        <v>4.75</v>
      </c>
      <c r="G20" s="30">
        <f t="shared" si="1"/>
        <v>4.23</v>
      </c>
      <c r="H20" s="30">
        <f t="shared" si="2"/>
        <v>1.04</v>
      </c>
      <c r="I20" s="31">
        <f t="shared" si="3"/>
        <v>0.2458628842</v>
      </c>
    </row>
    <row r="21" ht="22.5" customHeight="1">
      <c r="A21" s="24">
        <v>46028.0</v>
      </c>
      <c r="B21" s="2" t="s">
        <v>129</v>
      </c>
      <c r="C21" s="2" t="s">
        <v>227</v>
      </c>
      <c r="D21" s="2" t="s">
        <v>268</v>
      </c>
      <c r="E21" s="2">
        <v>3.37</v>
      </c>
      <c r="F21" s="2">
        <v>3.8</v>
      </c>
      <c r="G21" s="30">
        <f t="shared" si="1"/>
        <v>3.585</v>
      </c>
      <c r="H21" s="30">
        <f t="shared" si="2"/>
        <v>0.43</v>
      </c>
      <c r="I21" s="31">
        <f t="shared" si="3"/>
        <v>0.119944212</v>
      </c>
    </row>
    <row r="22" ht="22.5" customHeight="1">
      <c r="A22" s="24">
        <v>46028.0</v>
      </c>
      <c r="B22" s="2" t="s">
        <v>129</v>
      </c>
      <c r="C22" s="2" t="s">
        <v>269</v>
      </c>
      <c r="D22" s="2" t="s">
        <v>268</v>
      </c>
      <c r="E22" s="2">
        <v>3.0</v>
      </c>
      <c r="F22" s="2">
        <v>3.53</v>
      </c>
      <c r="G22" s="30">
        <f t="shared" si="1"/>
        <v>3.265</v>
      </c>
      <c r="H22" s="30">
        <f t="shared" si="2"/>
        <v>0.53</v>
      </c>
      <c r="I22" s="31">
        <f t="shared" si="3"/>
        <v>0.1623277182</v>
      </c>
    </row>
    <row r="23" ht="22.5" customHeight="1">
      <c r="A23" s="32">
        <v>46035.0</v>
      </c>
      <c r="B23" s="21" t="s">
        <v>136</v>
      </c>
      <c r="C23" s="21"/>
      <c r="D23" s="21" t="s">
        <v>263</v>
      </c>
      <c r="E23" s="21">
        <v>1.51</v>
      </c>
      <c r="F23" s="21">
        <v>1.8</v>
      </c>
      <c r="G23" s="30">
        <f t="shared" si="1"/>
        <v>1.655</v>
      </c>
      <c r="H23" s="30">
        <f t="shared" si="2"/>
        <v>0.29</v>
      </c>
      <c r="I23" s="31">
        <f t="shared" si="3"/>
        <v>0.1752265861</v>
      </c>
    </row>
    <row r="24" ht="22.5" customHeight="1">
      <c r="A24" s="32">
        <v>46035.0</v>
      </c>
      <c r="B24" s="21" t="s">
        <v>136</v>
      </c>
      <c r="C24" s="21"/>
      <c r="D24" s="21" t="s">
        <v>264</v>
      </c>
      <c r="E24" s="21">
        <v>1.3</v>
      </c>
      <c r="F24" s="21">
        <v>1.5</v>
      </c>
      <c r="G24" s="30">
        <f t="shared" si="1"/>
        <v>1.4</v>
      </c>
      <c r="H24" s="30">
        <f t="shared" si="2"/>
        <v>0.2</v>
      </c>
      <c r="I24" s="31">
        <f t="shared" si="3"/>
        <v>0.1428571429</v>
      </c>
    </row>
    <row r="25" ht="22.5" customHeight="1">
      <c r="A25" s="32">
        <v>46035.0</v>
      </c>
      <c r="B25" s="21" t="s">
        <v>136</v>
      </c>
      <c r="C25" s="21"/>
      <c r="D25" s="21" t="s">
        <v>265</v>
      </c>
      <c r="E25" s="21">
        <v>0.9</v>
      </c>
      <c r="F25" s="21">
        <v>1.1</v>
      </c>
      <c r="G25" s="30">
        <f t="shared" si="1"/>
        <v>1</v>
      </c>
      <c r="H25" s="30">
        <f t="shared" si="2"/>
        <v>0.2</v>
      </c>
      <c r="I25" s="31">
        <f t="shared" si="3"/>
        <v>0.2</v>
      </c>
    </row>
    <row r="26" ht="22.5" customHeight="1">
      <c r="A26" s="32">
        <v>46035.0</v>
      </c>
      <c r="B26" s="21" t="s">
        <v>139</v>
      </c>
      <c r="C26" s="21"/>
      <c r="D26" s="21" t="s">
        <v>263</v>
      </c>
      <c r="E26" s="21">
        <v>1.77</v>
      </c>
      <c r="F26" s="21">
        <v>2.04</v>
      </c>
      <c r="G26" s="30">
        <f t="shared" si="1"/>
        <v>1.905</v>
      </c>
      <c r="H26" s="30">
        <f t="shared" si="2"/>
        <v>0.27</v>
      </c>
      <c r="I26" s="31">
        <f t="shared" si="3"/>
        <v>0.1417322835</v>
      </c>
    </row>
    <row r="27" ht="22.5" customHeight="1">
      <c r="A27" s="32">
        <v>46035.0</v>
      </c>
      <c r="B27" s="21" t="s">
        <v>139</v>
      </c>
      <c r="C27" s="21"/>
      <c r="D27" s="21" t="s">
        <v>266</v>
      </c>
      <c r="E27" s="21">
        <v>1.5</v>
      </c>
      <c r="F27" s="21">
        <v>1.6</v>
      </c>
      <c r="G27" s="30">
        <f t="shared" si="1"/>
        <v>1.55</v>
      </c>
      <c r="H27" s="30">
        <f t="shared" si="2"/>
        <v>0.1</v>
      </c>
      <c r="I27" s="31">
        <f t="shared" si="3"/>
        <v>0.06451612903</v>
      </c>
    </row>
    <row r="28" ht="22.5" customHeight="1">
      <c r="A28" s="32">
        <v>46035.0</v>
      </c>
      <c r="B28" s="21" t="s">
        <v>133</v>
      </c>
      <c r="C28" s="21"/>
      <c r="D28" s="21" t="s">
        <v>267</v>
      </c>
      <c r="E28" s="21">
        <v>2700.0</v>
      </c>
      <c r="F28" s="21">
        <v>3600.0</v>
      </c>
      <c r="G28" s="30">
        <f t="shared" si="1"/>
        <v>3150</v>
      </c>
      <c r="H28" s="30">
        <f t="shared" si="2"/>
        <v>900</v>
      </c>
      <c r="I28" s="31">
        <f t="shared" si="3"/>
        <v>0.2857142857</v>
      </c>
    </row>
    <row r="29" ht="22.5" customHeight="1">
      <c r="A29" s="32">
        <v>46035.0</v>
      </c>
      <c r="B29" s="21" t="s">
        <v>120</v>
      </c>
      <c r="C29" s="21" t="s">
        <v>144</v>
      </c>
      <c r="D29" s="21" t="s">
        <v>268</v>
      </c>
      <c r="E29" s="21">
        <v>6.13</v>
      </c>
      <c r="F29" s="21">
        <v>8.1</v>
      </c>
      <c r="G29" s="30">
        <f t="shared" si="1"/>
        <v>7.115</v>
      </c>
      <c r="H29" s="30">
        <f t="shared" si="2"/>
        <v>1.97</v>
      </c>
      <c r="I29" s="31">
        <f t="shared" si="3"/>
        <v>0.2768798313</v>
      </c>
    </row>
    <row r="30" ht="22.5" customHeight="1">
      <c r="A30" s="32">
        <v>46035.0</v>
      </c>
      <c r="B30" s="21" t="s">
        <v>120</v>
      </c>
      <c r="C30" s="21" t="s">
        <v>223</v>
      </c>
      <c r="D30" s="21" t="s">
        <v>268</v>
      </c>
      <c r="E30" s="21">
        <v>5.62</v>
      </c>
      <c r="F30" s="21">
        <v>7.8</v>
      </c>
      <c r="G30" s="30">
        <f t="shared" si="1"/>
        <v>6.71</v>
      </c>
      <c r="H30" s="30">
        <f t="shared" si="2"/>
        <v>2.18</v>
      </c>
      <c r="I30" s="31">
        <f t="shared" si="3"/>
        <v>0.3248882265</v>
      </c>
    </row>
    <row r="31" ht="22.5" customHeight="1">
      <c r="A31" s="32">
        <v>46035.0</v>
      </c>
      <c r="B31" s="21" t="s">
        <v>120</v>
      </c>
      <c r="C31" s="21" t="s">
        <v>224</v>
      </c>
      <c r="D31" s="21" t="s">
        <v>268</v>
      </c>
      <c r="E31" s="21">
        <v>5.32</v>
      </c>
      <c r="F31" s="21">
        <v>6.55</v>
      </c>
      <c r="G31" s="30">
        <f t="shared" si="1"/>
        <v>5.935</v>
      </c>
      <c r="H31" s="30">
        <f t="shared" si="2"/>
        <v>1.23</v>
      </c>
      <c r="I31" s="31">
        <f t="shared" si="3"/>
        <v>0.2072451559</v>
      </c>
    </row>
    <row r="32" ht="22.5" customHeight="1">
      <c r="A32" s="32">
        <v>46035.0</v>
      </c>
      <c r="B32" s="21" t="s">
        <v>120</v>
      </c>
      <c r="C32" s="21" t="s">
        <v>225</v>
      </c>
      <c r="D32" s="21" t="s">
        <v>268</v>
      </c>
      <c r="E32" s="21">
        <v>4.6</v>
      </c>
      <c r="F32" s="21">
        <v>5.7</v>
      </c>
      <c r="G32" s="30">
        <f t="shared" si="1"/>
        <v>5.15</v>
      </c>
      <c r="H32" s="30">
        <f t="shared" si="2"/>
        <v>1.1</v>
      </c>
      <c r="I32" s="31">
        <f t="shared" si="3"/>
        <v>0.213592233</v>
      </c>
    </row>
    <row r="33" ht="22.5" customHeight="1">
      <c r="A33" s="32">
        <v>46035.0</v>
      </c>
      <c r="B33" s="21" t="s">
        <v>120</v>
      </c>
      <c r="C33" s="21" t="s">
        <v>226</v>
      </c>
      <c r="D33" s="21" t="s">
        <v>268</v>
      </c>
      <c r="E33" s="21">
        <v>4.24</v>
      </c>
      <c r="F33" s="21">
        <v>4.75</v>
      </c>
      <c r="G33" s="30">
        <f t="shared" si="1"/>
        <v>4.495</v>
      </c>
      <c r="H33" s="30">
        <f t="shared" si="2"/>
        <v>0.51</v>
      </c>
      <c r="I33" s="31">
        <f t="shared" si="3"/>
        <v>0.1134593993</v>
      </c>
    </row>
    <row r="34" ht="22.5" customHeight="1">
      <c r="A34" s="32">
        <v>46035.0</v>
      </c>
      <c r="B34" s="21" t="s">
        <v>120</v>
      </c>
      <c r="C34" s="21" t="s">
        <v>227</v>
      </c>
      <c r="D34" s="21" t="s">
        <v>268</v>
      </c>
      <c r="E34" s="21">
        <v>3.88</v>
      </c>
      <c r="F34" s="21">
        <v>4.32</v>
      </c>
      <c r="G34" s="30">
        <f t="shared" si="1"/>
        <v>4.1</v>
      </c>
      <c r="H34" s="30">
        <f t="shared" si="2"/>
        <v>0.44</v>
      </c>
      <c r="I34" s="31">
        <f t="shared" si="3"/>
        <v>0.1073170732</v>
      </c>
    </row>
    <row r="35" ht="22.5" customHeight="1">
      <c r="A35" s="32">
        <v>46035.0</v>
      </c>
      <c r="B35" s="21" t="s">
        <v>120</v>
      </c>
      <c r="C35" s="21" t="s">
        <v>269</v>
      </c>
      <c r="D35" s="21" t="s">
        <v>268</v>
      </c>
      <c r="E35" s="21">
        <v>3.42</v>
      </c>
      <c r="F35" s="21">
        <v>4.0</v>
      </c>
      <c r="G35" s="30">
        <f t="shared" si="1"/>
        <v>3.71</v>
      </c>
      <c r="H35" s="30">
        <f t="shared" si="2"/>
        <v>0.58</v>
      </c>
      <c r="I35" s="31">
        <f t="shared" si="3"/>
        <v>0.1563342318</v>
      </c>
    </row>
    <row r="36" ht="22.5" customHeight="1">
      <c r="A36" s="32">
        <v>46035.0</v>
      </c>
      <c r="B36" s="21" t="s">
        <v>129</v>
      </c>
      <c r="C36" s="21" t="s">
        <v>144</v>
      </c>
      <c r="D36" s="21" t="s">
        <v>268</v>
      </c>
      <c r="E36" s="21">
        <v>6.44</v>
      </c>
      <c r="F36" s="21">
        <v>7.75</v>
      </c>
      <c r="G36" s="30">
        <f t="shared" si="1"/>
        <v>7.095</v>
      </c>
      <c r="H36" s="30">
        <f t="shared" si="2"/>
        <v>1.31</v>
      </c>
      <c r="I36" s="31">
        <f t="shared" si="3"/>
        <v>0.1846370684</v>
      </c>
    </row>
    <row r="37" ht="22.5" customHeight="1">
      <c r="A37" s="32">
        <v>46035.0</v>
      </c>
      <c r="B37" s="21" t="s">
        <v>129</v>
      </c>
      <c r="C37" s="21" t="s">
        <v>223</v>
      </c>
      <c r="D37" s="21" t="s">
        <v>268</v>
      </c>
      <c r="E37" s="21">
        <v>5.39</v>
      </c>
      <c r="F37" s="21">
        <v>7.1</v>
      </c>
      <c r="G37" s="30">
        <f t="shared" si="1"/>
        <v>6.245</v>
      </c>
      <c r="H37" s="30">
        <f t="shared" si="2"/>
        <v>1.71</v>
      </c>
      <c r="I37" s="31">
        <f t="shared" si="3"/>
        <v>0.2738190552</v>
      </c>
    </row>
    <row r="38" ht="22.5" customHeight="1">
      <c r="A38" s="32">
        <v>46035.0</v>
      </c>
      <c r="B38" s="21" t="s">
        <v>129</v>
      </c>
      <c r="C38" s="21" t="s">
        <v>224</v>
      </c>
      <c r="D38" s="21" t="s">
        <v>268</v>
      </c>
      <c r="E38" s="21">
        <v>4.55</v>
      </c>
      <c r="F38" s="21">
        <v>6.2</v>
      </c>
      <c r="G38" s="30">
        <f t="shared" si="1"/>
        <v>5.375</v>
      </c>
      <c r="H38" s="30">
        <f t="shared" si="2"/>
        <v>1.65</v>
      </c>
      <c r="I38" s="31">
        <f t="shared" si="3"/>
        <v>0.3069767442</v>
      </c>
    </row>
    <row r="39" ht="22.5" customHeight="1">
      <c r="A39" s="32">
        <v>46035.0</v>
      </c>
      <c r="B39" s="21" t="s">
        <v>129</v>
      </c>
      <c r="C39" s="21" t="s">
        <v>225</v>
      </c>
      <c r="D39" s="21" t="s">
        <v>268</v>
      </c>
      <c r="E39" s="21">
        <v>4.17</v>
      </c>
      <c r="F39" s="21">
        <v>6.0</v>
      </c>
      <c r="G39" s="30">
        <f t="shared" si="1"/>
        <v>5.085</v>
      </c>
      <c r="H39" s="30">
        <f t="shared" si="2"/>
        <v>1.83</v>
      </c>
      <c r="I39" s="31">
        <f t="shared" si="3"/>
        <v>0.3598820059</v>
      </c>
    </row>
    <row r="40" ht="22.5" customHeight="1">
      <c r="A40" s="32">
        <v>46035.0</v>
      </c>
      <c r="B40" s="21" t="s">
        <v>129</v>
      </c>
      <c r="C40" s="21" t="s">
        <v>226</v>
      </c>
      <c r="D40" s="21" t="s">
        <v>268</v>
      </c>
      <c r="E40" s="21">
        <v>3.85</v>
      </c>
      <c r="F40" s="21">
        <v>5.7</v>
      </c>
      <c r="G40" s="30">
        <f t="shared" si="1"/>
        <v>4.775</v>
      </c>
      <c r="H40" s="30">
        <f t="shared" si="2"/>
        <v>1.85</v>
      </c>
      <c r="I40" s="31">
        <f t="shared" si="3"/>
        <v>0.387434555</v>
      </c>
    </row>
    <row r="41" ht="22.5" customHeight="1">
      <c r="A41" s="32">
        <v>46035.0</v>
      </c>
      <c r="B41" s="21" t="s">
        <v>129</v>
      </c>
      <c r="C41" s="21" t="s">
        <v>227</v>
      </c>
      <c r="D41" s="21" t="s">
        <v>268</v>
      </c>
      <c r="E41" s="21">
        <v>3.45</v>
      </c>
      <c r="F41" s="21">
        <v>4.03</v>
      </c>
      <c r="G41" s="30">
        <f t="shared" si="1"/>
        <v>3.74</v>
      </c>
      <c r="H41" s="30">
        <f t="shared" si="2"/>
        <v>0.58</v>
      </c>
      <c r="I41" s="31">
        <f t="shared" si="3"/>
        <v>0.1550802139</v>
      </c>
    </row>
    <row r="42" ht="22.5" customHeight="1">
      <c r="A42" s="32">
        <v>46035.0</v>
      </c>
      <c r="B42" s="21" t="s">
        <v>129</v>
      </c>
      <c r="C42" s="21" t="s">
        <v>269</v>
      </c>
      <c r="D42" s="21" t="s">
        <v>268</v>
      </c>
      <c r="E42" s="21">
        <v>3.1</v>
      </c>
      <c r="F42" s="21">
        <v>3.7</v>
      </c>
      <c r="G42" s="30">
        <f t="shared" si="1"/>
        <v>3.4</v>
      </c>
      <c r="H42" s="30">
        <f t="shared" si="2"/>
        <v>0.6</v>
      </c>
      <c r="I42" s="31">
        <f t="shared" si="3"/>
        <v>0.1764705882</v>
      </c>
    </row>
    <row r="43" ht="22.5" customHeight="1">
      <c r="A43" s="32">
        <v>46042.0</v>
      </c>
      <c r="B43" s="21" t="s">
        <v>136</v>
      </c>
      <c r="C43" s="21"/>
      <c r="D43" s="21" t="s">
        <v>263</v>
      </c>
      <c r="E43" s="21">
        <v>1.5</v>
      </c>
      <c r="F43" s="21">
        <v>1.73</v>
      </c>
      <c r="G43" s="30">
        <f t="shared" si="1"/>
        <v>1.615</v>
      </c>
      <c r="H43" s="30">
        <f t="shared" si="2"/>
        <v>0.23</v>
      </c>
      <c r="I43" s="31">
        <f t="shared" si="3"/>
        <v>0.1424148607</v>
      </c>
    </row>
    <row r="44" ht="22.5" customHeight="1">
      <c r="A44" s="32">
        <v>46042.0</v>
      </c>
      <c r="B44" s="21" t="s">
        <v>136</v>
      </c>
      <c r="C44" s="21"/>
      <c r="D44" s="21" t="s">
        <v>264</v>
      </c>
      <c r="E44" s="21">
        <v>1.3</v>
      </c>
      <c r="F44" s="21">
        <v>1.49</v>
      </c>
      <c r="G44" s="30">
        <f t="shared" si="1"/>
        <v>1.395</v>
      </c>
      <c r="H44" s="30">
        <f t="shared" si="2"/>
        <v>0.19</v>
      </c>
      <c r="I44" s="31">
        <f t="shared" si="3"/>
        <v>0.1362007168</v>
      </c>
    </row>
    <row r="45" ht="22.5" customHeight="1">
      <c r="A45" s="32">
        <v>46042.0</v>
      </c>
      <c r="B45" s="21" t="s">
        <v>136</v>
      </c>
      <c r="C45" s="21"/>
      <c r="D45" s="21" t="s">
        <v>265</v>
      </c>
      <c r="E45" s="21">
        <v>0.9</v>
      </c>
      <c r="F45" s="21">
        <v>1.1</v>
      </c>
      <c r="G45" s="30">
        <f t="shared" si="1"/>
        <v>1</v>
      </c>
      <c r="H45" s="30">
        <f t="shared" si="2"/>
        <v>0.2</v>
      </c>
      <c r="I45" s="31">
        <f t="shared" si="3"/>
        <v>0.2</v>
      </c>
    </row>
    <row r="46" ht="22.5" customHeight="1">
      <c r="A46" s="32">
        <v>46042.0</v>
      </c>
      <c r="B46" s="21" t="s">
        <v>139</v>
      </c>
      <c r="C46" s="21"/>
      <c r="D46" s="21" t="s">
        <v>263</v>
      </c>
      <c r="E46" s="21">
        <v>1.7</v>
      </c>
      <c r="F46" s="21">
        <v>1.96</v>
      </c>
      <c r="G46" s="30">
        <f t="shared" si="1"/>
        <v>1.83</v>
      </c>
      <c r="H46" s="30">
        <f t="shared" si="2"/>
        <v>0.26</v>
      </c>
      <c r="I46" s="31">
        <f t="shared" si="3"/>
        <v>0.1420765027</v>
      </c>
    </row>
    <row r="47" ht="22.5" customHeight="1">
      <c r="A47" s="32">
        <v>46042.0</v>
      </c>
      <c r="B47" s="21" t="s">
        <v>139</v>
      </c>
      <c r="C47" s="21"/>
      <c r="D47" s="21" t="s">
        <v>266</v>
      </c>
      <c r="E47" s="21">
        <v>1.5</v>
      </c>
      <c r="F47" s="21">
        <v>1.6</v>
      </c>
      <c r="G47" s="30">
        <f t="shared" si="1"/>
        <v>1.55</v>
      </c>
      <c r="H47" s="30">
        <f t="shared" si="2"/>
        <v>0.1</v>
      </c>
      <c r="I47" s="31">
        <f t="shared" si="3"/>
        <v>0.06451612903</v>
      </c>
    </row>
    <row r="48" ht="22.5" customHeight="1">
      <c r="A48" s="32">
        <v>46042.0</v>
      </c>
      <c r="B48" s="21" t="s">
        <v>133</v>
      </c>
      <c r="C48" s="21"/>
      <c r="D48" s="21" t="s">
        <v>267</v>
      </c>
      <c r="E48" s="21">
        <v>2500.0</v>
      </c>
      <c r="F48" s="21">
        <v>3500.0</v>
      </c>
      <c r="G48" s="30">
        <f t="shared" si="1"/>
        <v>3000</v>
      </c>
      <c r="H48" s="30">
        <f t="shared" si="2"/>
        <v>1000</v>
      </c>
      <c r="I48" s="31">
        <f t="shared" si="3"/>
        <v>0.3333333333</v>
      </c>
    </row>
    <row r="49" ht="22.5" customHeight="1">
      <c r="A49" s="32">
        <v>46042.0</v>
      </c>
      <c r="B49" s="21" t="s">
        <v>133</v>
      </c>
      <c r="C49" s="21"/>
      <c r="D49" s="21" t="s">
        <v>245</v>
      </c>
      <c r="E49" s="21">
        <v>2600.0</v>
      </c>
      <c r="F49" s="21">
        <v>3700.0</v>
      </c>
      <c r="G49" s="30">
        <f t="shared" si="1"/>
        <v>3150</v>
      </c>
      <c r="H49" s="30">
        <f t="shared" si="2"/>
        <v>1100</v>
      </c>
      <c r="I49" s="31">
        <f t="shared" si="3"/>
        <v>0.3492063492</v>
      </c>
    </row>
    <row r="50" ht="22.5" customHeight="1">
      <c r="A50" s="32">
        <v>46042.0</v>
      </c>
      <c r="B50" s="21" t="s">
        <v>120</v>
      </c>
      <c r="C50" s="21" t="s">
        <v>144</v>
      </c>
      <c r="D50" s="21" t="s">
        <v>268</v>
      </c>
      <c r="E50" s="21">
        <v>6.25</v>
      </c>
      <c r="F50" s="21">
        <v>8.5</v>
      </c>
      <c r="G50" s="30">
        <f t="shared" si="1"/>
        <v>7.375</v>
      </c>
      <c r="H50" s="30">
        <f t="shared" si="2"/>
        <v>2.25</v>
      </c>
      <c r="I50" s="31">
        <f t="shared" si="3"/>
        <v>0.3050847458</v>
      </c>
    </row>
    <row r="51" ht="22.5" customHeight="1">
      <c r="A51" s="32">
        <v>46042.0</v>
      </c>
      <c r="B51" s="21" t="s">
        <v>120</v>
      </c>
      <c r="C51" s="21" t="s">
        <v>223</v>
      </c>
      <c r="D51" s="21" t="s">
        <v>268</v>
      </c>
      <c r="E51" s="21">
        <v>5.75</v>
      </c>
      <c r="F51" s="21">
        <v>8.1</v>
      </c>
      <c r="G51" s="30">
        <f t="shared" si="1"/>
        <v>6.925</v>
      </c>
      <c r="H51" s="30">
        <f t="shared" si="2"/>
        <v>2.35</v>
      </c>
      <c r="I51" s="31">
        <f t="shared" si="3"/>
        <v>0.3393501805</v>
      </c>
    </row>
    <row r="52" ht="22.5" customHeight="1">
      <c r="A52" s="32">
        <v>46042.0</v>
      </c>
      <c r="B52" s="21" t="s">
        <v>120</v>
      </c>
      <c r="C52" s="21" t="s">
        <v>224</v>
      </c>
      <c r="D52" s="21" t="s">
        <v>268</v>
      </c>
      <c r="E52" s="21">
        <v>5.05</v>
      </c>
      <c r="F52" s="21">
        <v>6.4</v>
      </c>
      <c r="G52" s="30">
        <f t="shared" si="1"/>
        <v>5.725</v>
      </c>
      <c r="H52" s="30">
        <f t="shared" si="2"/>
        <v>1.35</v>
      </c>
      <c r="I52" s="31">
        <f t="shared" si="3"/>
        <v>0.2358078603</v>
      </c>
    </row>
    <row r="53" ht="22.5" customHeight="1">
      <c r="A53" s="32">
        <v>46042.0</v>
      </c>
      <c r="B53" s="21" t="s">
        <v>120</v>
      </c>
      <c r="C53" s="21" t="s">
        <v>225</v>
      </c>
      <c r="D53" s="21" t="s">
        <v>268</v>
      </c>
      <c r="E53" s="21">
        <v>4.65</v>
      </c>
      <c r="F53" s="21">
        <v>5.95</v>
      </c>
      <c r="G53" s="30">
        <f t="shared" si="1"/>
        <v>5.3</v>
      </c>
      <c r="H53" s="30">
        <f t="shared" si="2"/>
        <v>1.3</v>
      </c>
      <c r="I53" s="31">
        <f t="shared" si="3"/>
        <v>0.2452830189</v>
      </c>
    </row>
    <row r="54" ht="22.5" customHeight="1">
      <c r="A54" s="32">
        <v>46042.0</v>
      </c>
      <c r="B54" s="21" t="s">
        <v>120</v>
      </c>
      <c r="C54" s="21" t="s">
        <v>226</v>
      </c>
      <c r="D54" s="21" t="s">
        <v>268</v>
      </c>
      <c r="E54" s="21">
        <v>4.25</v>
      </c>
      <c r="F54" s="21">
        <v>5.05</v>
      </c>
      <c r="G54" s="30">
        <f t="shared" si="1"/>
        <v>4.65</v>
      </c>
      <c r="H54" s="30">
        <f t="shared" si="2"/>
        <v>0.8</v>
      </c>
      <c r="I54" s="31">
        <f t="shared" si="3"/>
        <v>0.1720430108</v>
      </c>
    </row>
    <row r="55" ht="22.5" customHeight="1">
      <c r="A55" s="32">
        <v>46042.0</v>
      </c>
      <c r="B55" s="21" t="s">
        <v>120</v>
      </c>
      <c r="C55" s="21" t="s">
        <v>227</v>
      </c>
      <c r="D55" s="21" t="s">
        <v>268</v>
      </c>
      <c r="E55" s="21">
        <v>3.9</v>
      </c>
      <c r="F55" s="21">
        <v>4.45</v>
      </c>
      <c r="G55" s="30">
        <f t="shared" si="1"/>
        <v>4.175</v>
      </c>
      <c r="H55" s="30">
        <f t="shared" si="2"/>
        <v>0.55</v>
      </c>
      <c r="I55" s="31">
        <f t="shared" si="3"/>
        <v>0.1317365269</v>
      </c>
    </row>
    <row r="56" ht="22.5" customHeight="1">
      <c r="A56" s="32">
        <v>46042.0</v>
      </c>
      <c r="B56" s="21" t="s">
        <v>120</v>
      </c>
      <c r="C56" s="21" t="s">
        <v>269</v>
      </c>
      <c r="D56" s="21" t="s">
        <v>268</v>
      </c>
      <c r="E56" s="21">
        <v>3.4</v>
      </c>
      <c r="F56" s="21">
        <v>3.95</v>
      </c>
      <c r="G56" s="30">
        <f t="shared" si="1"/>
        <v>3.675</v>
      </c>
      <c r="H56" s="30">
        <f t="shared" si="2"/>
        <v>0.55</v>
      </c>
      <c r="I56" s="31">
        <f t="shared" si="3"/>
        <v>0.1496598639</v>
      </c>
    </row>
    <row r="57" ht="22.5" customHeight="1">
      <c r="A57" s="32">
        <v>46042.0</v>
      </c>
      <c r="B57" s="21" t="s">
        <v>129</v>
      </c>
      <c r="C57" s="21" t="s">
        <v>144</v>
      </c>
      <c r="D57" s="21" t="s">
        <v>268</v>
      </c>
      <c r="E57" s="21">
        <v>5.9</v>
      </c>
      <c r="F57" s="21">
        <v>7.6</v>
      </c>
      <c r="G57" s="30">
        <f t="shared" si="1"/>
        <v>6.75</v>
      </c>
      <c r="H57" s="30">
        <f t="shared" si="2"/>
        <v>1.7</v>
      </c>
      <c r="I57" s="31">
        <f t="shared" si="3"/>
        <v>0.2518518519</v>
      </c>
    </row>
    <row r="58" ht="22.5" customHeight="1">
      <c r="A58" s="32">
        <v>46042.0</v>
      </c>
      <c r="B58" s="21" t="s">
        <v>129</v>
      </c>
      <c r="C58" s="21" t="s">
        <v>223</v>
      </c>
      <c r="D58" s="21" t="s">
        <v>268</v>
      </c>
      <c r="E58" s="21">
        <v>5.1</v>
      </c>
      <c r="F58" s="21">
        <v>7.0</v>
      </c>
      <c r="G58" s="30">
        <f t="shared" si="1"/>
        <v>6.05</v>
      </c>
      <c r="H58" s="30">
        <f t="shared" si="2"/>
        <v>1.9</v>
      </c>
      <c r="I58" s="31">
        <f t="shared" si="3"/>
        <v>0.3140495868</v>
      </c>
    </row>
    <row r="59" ht="22.5" customHeight="1">
      <c r="A59" s="32">
        <v>46042.0</v>
      </c>
      <c r="B59" s="21" t="s">
        <v>129</v>
      </c>
      <c r="C59" s="21" t="s">
        <v>224</v>
      </c>
      <c r="D59" s="21" t="s">
        <v>268</v>
      </c>
      <c r="E59" s="21">
        <v>4.6</v>
      </c>
      <c r="F59" s="21">
        <v>6.25</v>
      </c>
      <c r="G59" s="30">
        <f t="shared" si="1"/>
        <v>5.425</v>
      </c>
      <c r="H59" s="30">
        <f t="shared" si="2"/>
        <v>1.65</v>
      </c>
      <c r="I59" s="31">
        <f t="shared" si="3"/>
        <v>0.3041474654</v>
      </c>
    </row>
    <row r="60" ht="22.5" customHeight="1">
      <c r="A60" s="32">
        <v>46042.0</v>
      </c>
      <c r="B60" s="21" t="s">
        <v>129</v>
      </c>
      <c r="C60" s="21" t="s">
        <v>225</v>
      </c>
      <c r="D60" s="21" t="s">
        <v>268</v>
      </c>
      <c r="E60" s="21">
        <v>4.15</v>
      </c>
      <c r="F60" s="21">
        <v>5.7</v>
      </c>
      <c r="G60" s="30">
        <f t="shared" si="1"/>
        <v>4.925</v>
      </c>
      <c r="H60" s="30">
        <f t="shared" si="2"/>
        <v>1.55</v>
      </c>
      <c r="I60" s="31">
        <f t="shared" si="3"/>
        <v>0.3147208122</v>
      </c>
    </row>
    <row r="61" ht="22.5" customHeight="1">
      <c r="A61" s="32">
        <v>46042.0</v>
      </c>
      <c r="B61" s="21" t="s">
        <v>129</v>
      </c>
      <c r="C61" s="21" t="s">
        <v>226</v>
      </c>
      <c r="D61" s="21" t="s">
        <v>268</v>
      </c>
      <c r="E61" s="21">
        <v>3.85</v>
      </c>
      <c r="F61" s="21">
        <v>4.8</v>
      </c>
      <c r="G61" s="30">
        <f t="shared" si="1"/>
        <v>4.325</v>
      </c>
      <c r="H61" s="30">
        <f t="shared" si="2"/>
        <v>0.95</v>
      </c>
      <c r="I61" s="31">
        <f t="shared" si="3"/>
        <v>0.2196531792</v>
      </c>
    </row>
    <row r="62" ht="22.5" customHeight="1">
      <c r="A62" s="32">
        <v>46042.0</v>
      </c>
      <c r="B62" s="21" t="s">
        <v>129</v>
      </c>
      <c r="C62" s="21" t="s">
        <v>227</v>
      </c>
      <c r="D62" s="21" t="s">
        <v>268</v>
      </c>
      <c r="E62" s="21">
        <v>3.45</v>
      </c>
      <c r="F62" s="21">
        <v>4.1</v>
      </c>
      <c r="G62" s="30">
        <f t="shared" si="1"/>
        <v>3.775</v>
      </c>
      <c r="H62" s="30">
        <f t="shared" si="2"/>
        <v>0.65</v>
      </c>
      <c r="I62" s="31">
        <f t="shared" si="3"/>
        <v>0.1721854305</v>
      </c>
    </row>
    <row r="63" ht="22.5" customHeight="1">
      <c r="A63" s="32">
        <v>46042.0</v>
      </c>
      <c r="B63" s="21" t="s">
        <v>129</v>
      </c>
      <c r="C63" s="21" t="s">
        <v>269</v>
      </c>
      <c r="D63" s="21" t="s">
        <v>268</v>
      </c>
      <c r="E63" s="21">
        <v>3.1</v>
      </c>
      <c r="F63" s="21">
        <v>3.75</v>
      </c>
      <c r="G63" s="30">
        <f t="shared" si="1"/>
        <v>3.425</v>
      </c>
      <c r="H63" s="30">
        <f t="shared" si="2"/>
        <v>0.65</v>
      </c>
      <c r="I63" s="31">
        <f t="shared" si="3"/>
        <v>0.1897810219</v>
      </c>
    </row>
    <row r="64" ht="22.5" customHeight="1">
      <c r="A64" s="32">
        <v>46056.0</v>
      </c>
      <c r="B64" s="21" t="s">
        <v>136</v>
      </c>
      <c r="C64" s="21"/>
      <c r="D64" s="21" t="s">
        <v>263</v>
      </c>
      <c r="E64" s="21">
        <v>1.55</v>
      </c>
      <c r="F64" s="21">
        <v>1.75</v>
      </c>
      <c r="G64" s="30">
        <f t="shared" si="1"/>
        <v>1.65</v>
      </c>
      <c r="H64" s="30">
        <f t="shared" si="2"/>
        <v>0.2</v>
      </c>
      <c r="I64" s="31">
        <f t="shared" si="3"/>
        <v>0.1212121212</v>
      </c>
    </row>
    <row r="65" ht="22.5" customHeight="1">
      <c r="A65" s="32">
        <v>46056.0</v>
      </c>
      <c r="B65" s="21" t="s">
        <v>136</v>
      </c>
      <c r="C65" s="21"/>
      <c r="D65" s="21" t="s">
        <v>264</v>
      </c>
      <c r="E65" s="21">
        <v>1.35</v>
      </c>
      <c r="F65" s="21">
        <v>1.54</v>
      </c>
      <c r="G65" s="30">
        <f t="shared" si="1"/>
        <v>1.445</v>
      </c>
      <c r="H65" s="30">
        <f t="shared" si="2"/>
        <v>0.19</v>
      </c>
      <c r="I65" s="31">
        <f t="shared" si="3"/>
        <v>0.1314878893</v>
      </c>
    </row>
    <row r="66" ht="22.5" customHeight="1">
      <c r="A66" s="32">
        <v>46056.0</v>
      </c>
      <c r="B66" s="21" t="s">
        <v>136</v>
      </c>
      <c r="C66" s="21"/>
      <c r="D66" s="21" t="s">
        <v>265</v>
      </c>
      <c r="E66" s="21">
        <v>0.95</v>
      </c>
      <c r="F66" s="21">
        <v>1.2</v>
      </c>
      <c r="G66" s="30">
        <f t="shared" si="1"/>
        <v>1.075</v>
      </c>
      <c r="H66" s="30">
        <f t="shared" si="2"/>
        <v>0.25</v>
      </c>
      <c r="I66" s="31">
        <f t="shared" si="3"/>
        <v>0.2325581395</v>
      </c>
    </row>
    <row r="67" ht="22.5" customHeight="1">
      <c r="A67" s="32">
        <v>46056.0</v>
      </c>
      <c r="B67" s="21" t="s">
        <v>139</v>
      </c>
      <c r="C67" s="21"/>
      <c r="D67" s="21" t="s">
        <v>263</v>
      </c>
      <c r="E67" s="21">
        <v>1.75</v>
      </c>
      <c r="F67" s="21">
        <v>1.98</v>
      </c>
      <c r="G67" s="30">
        <f t="shared" si="1"/>
        <v>1.865</v>
      </c>
      <c r="H67" s="30">
        <f t="shared" si="2"/>
        <v>0.23</v>
      </c>
      <c r="I67" s="31">
        <f t="shared" si="3"/>
        <v>0.1233243968</v>
      </c>
    </row>
    <row r="68" ht="22.5" customHeight="1">
      <c r="A68" s="32">
        <v>46056.0</v>
      </c>
      <c r="B68" s="21" t="s">
        <v>139</v>
      </c>
      <c r="C68" s="21"/>
      <c r="D68" s="21" t="s">
        <v>266</v>
      </c>
      <c r="E68" s="21">
        <v>1.5</v>
      </c>
      <c r="F68" s="21">
        <v>1.7</v>
      </c>
      <c r="G68" s="30">
        <f t="shared" si="1"/>
        <v>1.6</v>
      </c>
      <c r="H68" s="30">
        <f t="shared" si="2"/>
        <v>0.2</v>
      </c>
      <c r="I68" s="31">
        <f t="shared" si="3"/>
        <v>0.125</v>
      </c>
    </row>
    <row r="69" ht="22.5" customHeight="1">
      <c r="A69" s="32">
        <v>46056.0</v>
      </c>
      <c r="B69" s="21" t="s">
        <v>133</v>
      </c>
      <c r="C69" s="21"/>
      <c r="D69" s="21" t="s">
        <v>267</v>
      </c>
      <c r="E69" s="21">
        <v>2500.0</v>
      </c>
      <c r="F69" s="21">
        <v>3400.0</v>
      </c>
      <c r="G69" s="30">
        <f t="shared" si="1"/>
        <v>2950</v>
      </c>
      <c r="H69" s="30">
        <f t="shared" si="2"/>
        <v>900</v>
      </c>
      <c r="I69" s="31">
        <f t="shared" si="3"/>
        <v>0.3050847458</v>
      </c>
    </row>
    <row r="70" ht="22.5" customHeight="1">
      <c r="A70" s="32">
        <v>46056.0</v>
      </c>
      <c r="B70" s="21" t="s">
        <v>133</v>
      </c>
      <c r="C70" s="21"/>
      <c r="D70" s="21" t="s">
        <v>245</v>
      </c>
      <c r="E70" s="21">
        <v>2800.0</v>
      </c>
      <c r="F70" s="21">
        <v>3900.0</v>
      </c>
      <c r="G70" s="30">
        <f t="shared" si="1"/>
        <v>3350</v>
      </c>
      <c r="H70" s="30">
        <f t="shared" si="2"/>
        <v>1100</v>
      </c>
      <c r="I70" s="31">
        <f t="shared" si="3"/>
        <v>0.328358209</v>
      </c>
    </row>
    <row r="71" ht="22.5" customHeight="1">
      <c r="A71" s="32">
        <v>46056.0</v>
      </c>
      <c r="B71" s="21" t="s">
        <v>120</v>
      </c>
      <c r="C71" s="21" t="s">
        <v>144</v>
      </c>
      <c r="D71" s="21" t="s">
        <v>268</v>
      </c>
      <c r="E71" s="21">
        <v>6.5</v>
      </c>
      <c r="F71" s="21">
        <v>8.75</v>
      </c>
      <c r="G71" s="30">
        <f t="shared" si="1"/>
        <v>7.625</v>
      </c>
      <c r="H71" s="30">
        <f t="shared" si="2"/>
        <v>2.25</v>
      </c>
      <c r="I71" s="31">
        <f t="shared" si="3"/>
        <v>0.2950819672</v>
      </c>
    </row>
    <row r="72" ht="22.5" customHeight="1">
      <c r="A72" s="32">
        <v>46056.0</v>
      </c>
      <c r="B72" s="21" t="s">
        <v>120</v>
      </c>
      <c r="C72" s="21" t="s">
        <v>223</v>
      </c>
      <c r="D72" s="21" t="s">
        <v>268</v>
      </c>
      <c r="E72" s="21">
        <v>5.8</v>
      </c>
      <c r="F72" s="21">
        <v>8.0</v>
      </c>
      <c r="G72" s="30">
        <f t="shared" si="1"/>
        <v>6.9</v>
      </c>
      <c r="H72" s="30">
        <f t="shared" si="2"/>
        <v>2.2</v>
      </c>
      <c r="I72" s="31">
        <f t="shared" si="3"/>
        <v>0.3188405797</v>
      </c>
    </row>
    <row r="73" ht="22.5" customHeight="1">
      <c r="A73" s="32">
        <v>46056.0</v>
      </c>
      <c r="B73" s="21" t="s">
        <v>120</v>
      </c>
      <c r="C73" s="21" t="s">
        <v>224</v>
      </c>
      <c r="D73" s="21" t="s">
        <v>268</v>
      </c>
      <c r="E73" s="21">
        <v>5.2</v>
      </c>
      <c r="F73" s="21">
        <v>6.7</v>
      </c>
      <c r="G73" s="30">
        <f t="shared" si="1"/>
        <v>5.95</v>
      </c>
      <c r="H73" s="30">
        <f t="shared" si="2"/>
        <v>1.5</v>
      </c>
      <c r="I73" s="31">
        <f t="shared" si="3"/>
        <v>0.2521008403</v>
      </c>
    </row>
    <row r="74" ht="22.5" customHeight="1">
      <c r="A74" s="32">
        <v>46056.0</v>
      </c>
      <c r="B74" s="21" t="s">
        <v>120</v>
      </c>
      <c r="C74" s="21" t="s">
        <v>225</v>
      </c>
      <c r="D74" s="21" t="s">
        <v>268</v>
      </c>
      <c r="E74" s="21">
        <v>4.75</v>
      </c>
      <c r="F74" s="21">
        <v>6.1</v>
      </c>
      <c r="G74" s="30">
        <f t="shared" si="1"/>
        <v>5.425</v>
      </c>
      <c r="H74" s="30">
        <f t="shared" si="2"/>
        <v>1.35</v>
      </c>
      <c r="I74" s="31">
        <f t="shared" si="3"/>
        <v>0.2488479263</v>
      </c>
    </row>
    <row r="75" ht="22.5" customHeight="1">
      <c r="A75" s="32">
        <v>46056.0</v>
      </c>
      <c r="B75" s="21" t="s">
        <v>120</v>
      </c>
      <c r="C75" s="21" t="s">
        <v>226</v>
      </c>
      <c r="D75" s="21" t="s">
        <v>268</v>
      </c>
      <c r="E75" s="21">
        <v>4.35</v>
      </c>
      <c r="F75" s="21">
        <v>5.15</v>
      </c>
      <c r="G75" s="30">
        <f t="shared" si="1"/>
        <v>4.75</v>
      </c>
      <c r="H75" s="30">
        <f t="shared" si="2"/>
        <v>0.8</v>
      </c>
      <c r="I75" s="31">
        <f t="shared" si="3"/>
        <v>0.1684210526</v>
      </c>
    </row>
    <row r="76" ht="22.5" customHeight="1">
      <c r="A76" s="32">
        <v>46056.0</v>
      </c>
      <c r="B76" s="21" t="s">
        <v>120</v>
      </c>
      <c r="C76" s="21" t="s">
        <v>227</v>
      </c>
      <c r="D76" s="21" t="s">
        <v>268</v>
      </c>
      <c r="E76" s="21">
        <v>3.95</v>
      </c>
      <c r="F76" s="21">
        <v>4.6</v>
      </c>
      <c r="G76" s="30">
        <f t="shared" si="1"/>
        <v>4.275</v>
      </c>
      <c r="H76" s="30">
        <f t="shared" si="2"/>
        <v>0.65</v>
      </c>
      <c r="I76" s="31">
        <f t="shared" si="3"/>
        <v>0.1520467836</v>
      </c>
    </row>
    <row r="77" ht="22.5" customHeight="1">
      <c r="A77" s="32">
        <v>46056.0</v>
      </c>
      <c r="B77" s="21" t="s">
        <v>120</v>
      </c>
      <c r="C77" s="21" t="s">
        <v>269</v>
      </c>
      <c r="D77" s="21" t="s">
        <v>268</v>
      </c>
      <c r="E77" s="21">
        <v>3.45</v>
      </c>
      <c r="F77" s="21">
        <v>4.05</v>
      </c>
      <c r="G77" s="30">
        <f t="shared" si="1"/>
        <v>3.75</v>
      </c>
      <c r="H77" s="30">
        <f t="shared" si="2"/>
        <v>0.6</v>
      </c>
      <c r="I77" s="31">
        <f t="shared" si="3"/>
        <v>0.16</v>
      </c>
    </row>
    <row r="78" ht="22.5" customHeight="1">
      <c r="A78" s="32">
        <v>46056.0</v>
      </c>
      <c r="B78" s="21" t="s">
        <v>129</v>
      </c>
      <c r="C78" s="21" t="s">
        <v>144</v>
      </c>
      <c r="D78" s="21" t="s">
        <v>268</v>
      </c>
      <c r="E78" s="21">
        <v>6.0</v>
      </c>
      <c r="F78" s="21">
        <v>7.8</v>
      </c>
      <c r="G78" s="30">
        <f t="shared" si="1"/>
        <v>6.9</v>
      </c>
      <c r="H78" s="30">
        <f t="shared" si="2"/>
        <v>1.8</v>
      </c>
      <c r="I78" s="31">
        <f t="shared" si="3"/>
        <v>0.2608695652</v>
      </c>
    </row>
    <row r="79" ht="22.5" customHeight="1">
      <c r="A79" s="32">
        <v>46056.0</v>
      </c>
      <c r="B79" s="21" t="s">
        <v>129</v>
      </c>
      <c r="C79" s="21" t="s">
        <v>223</v>
      </c>
      <c r="D79" s="21" t="s">
        <v>268</v>
      </c>
      <c r="E79" s="21">
        <v>5.25</v>
      </c>
      <c r="F79" s="21">
        <v>7.1</v>
      </c>
      <c r="G79" s="30">
        <f t="shared" si="1"/>
        <v>6.175</v>
      </c>
      <c r="H79" s="30">
        <f t="shared" si="2"/>
        <v>1.85</v>
      </c>
      <c r="I79" s="31">
        <f t="shared" si="3"/>
        <v>0.2995951417</v>
      </c>
    </row>
    <row r="80" ht="22.5" customHeight="1">
      <c r="A80" s="32">
        <v>46056.0</v>
      </c>
      <c r="B80" s="21" t="s">
        <v>129</v>
      </c>
      <c r="C80" s="21" t="s">
        <v>224</v>
      </c>
      <c r="D80" s="21" t="s">
        <v>268</v>
      </c>
      <c r="E80" s="21">
        <v>4.7</v>
      </c>
      <c r="F80" s="21">
        <v>6.3</v>
      </c>
      <c r="G80" s="30">
        <f t="shared" si="1"/>
        <v>5.5</v>
      </c>
      <c r="H80" s="30">
        <f t="shared" si="2"/>
        <v>1.6</v>
      </c>
      <c r="I80" s="31">
        <f t="shared" si="3"/>
        <v>0.2909090909</v>
      </c>
    </row>
    <row r="81" ht="22.5" customHeight="1">
      <c r="A81" s="32">
        <v>46056.0</v>
      </c>
      <c r="B81" s="21" t="s">
        <v>129</v>
      </c>
      <c r="C81" s="21" t="s">
        <v>225</v>
      </c>
      <c r="D81" s="21" t="s">
        <v>268</v>
      </c>
      <c r="E81" s="21">
        <v>4.25</v>
      </c>
      <c r="F81" s="21">
        <v>5.85</v>
      </c>
      <c r="G81" s="30">
        <f t="shared" si="1"/>
        <v>5.05</v>
      </c>
      <c r="H81" s="30">
        <f t="shared" si="2"/>
        <v>1.6</v>
      </c>
      <c r="I81" s="31">
        <f t="shared" si="3"/>
        <v>0.3168316832</v>
      </c>
    </row>
    <row r="82" ht="22.5" customHeight="1">
      <c r="A82" s="32">
        <v>46056.0</v>
      </c>
      <c r="B82" s="21" t="s">
        <v>129</v>
      </c>
      <c r="C82" s="21" t="s">
        <v>226</v>
      </c>
      <c r="D82" s="21" t="s">
        <v>268</v>
      </c>
      <c r="E82" s="21">
        <v>3.9</v>
      </c>
      <c r="F82" s="21">
        <v>4.95</v>
      </c>
      <c r="G82" s="30">
        <f t="shared" si="1"/>
        <v>4.425</v>
      </c>
      <c r="H82" s="30">
        <f t="shared" si="2"/>
        <v>1.05</v>
      </c>
      <c r="I82" s="31">
        <f t="shared" si="3"/>
        <v>0.2372881356</v>
      </c>
    </row>
    <row r="83" ht="22.5" customHeight="1">
      <c r="A83" s="32">
        <v>46056.0</v>
      </c>
      <c r="B83" s="21" t="s">
        <v>129</v>
      </c>
      <c r="C83" s="21" t="s">
        <v>227</v>
      </c>
      <c r="D83" s="21" t="s">
        <v>268</v>
      </c>
      <c r="E83" s="21">
        <v>3.5</v>
      </c>
      <c r="F83" s="21">
        <v>4.15</v>
      </c>
      <c r="G83" s="30">
        <f t="shared" si="1"/>
        <v>3.825</v>
      </c>
      <c r="H83" s="30">
        <f t="shared" si="2"/>
        <v>0.65</v>
      </c>
      <c r="I83" s="31">
        <f t="shared" si="3"/>
        <v>0.1699346405</v>
      </c>
    </row>
    <row r="84" ht="22.5" customHeight="1">
      <c r="A84" s="32">
        <v>46056.0</v>
      </c>
      <c r="B84" s="21" t="s">
        <v>129</v>
      </c>
      <c r="C84" s="21" t="s">
        <v>269</v>
      </c>
      <c r="D84" s="21" t="s">
        <v>268</v>
      </c>
      <c r="E84" s="21">
        <v>3.15</v>
      </c>
      <c r="F84" s="21">
        <v>3.85</v>
      </c>
      <c r="G84" s="30">
        <f t="shared" si="1"/>
        <v>3.5</v>
      </c>
      <c r="H84" s="30">
        <f t="shared" si="2"/>
        <v>0.7</v>
      </c>
      <c r="I84" s="31">
        <f t="shared" si="3"/>
        <v>0.2</v>
      </c>
    </row>
    <row r="85" ht="22.5" customHeight="1">
      <c r="A85" s="32">
        <v>46063.0</v>
      </c>
      <c r="B85" s="21" t="s">
        <v>136</v>
      </c>
      <c r="C85" s="21"/>
      <c r="D85" s="21" t="s">
        <v>263</v>
      </c>
      <c r="E85" s="21">
        <v>1.55</v>
      </c>
      <c r="F85" s="21">
        <v>1.76</v>
      </c>
      <c r="G85" s="30">
        <f t="shared" si="1"/>
        <v>1.655</v>
      </c>
      <c r="H85" s="30">
        <f t="shared" si="2"/>
        <v>0.21</v>
      </c>
      <c r="I85" s="31">
        <f t="shared" si="3"/>
        <v>0.1268882175</v>
      </c>
    </row>
    <row r="86" ht="22.5" customHeight="1">
      <c r="A86" s="32">
        <v>46063.0</v>
      </c>
      <c r="B86" s="21" t="s">
        <v>136</v>
      </c>
      <c r="C86" s="21"/>
      <c r="D86" s="21" t="s">
        <v>264</v>
      </c>
      <c r="E86" s="21">
        <v>1.35</v>
      </c>
      <c r="F86" s="21">
        <v>1.54</v>
      </c>
      <c r="G86" s="30">
        <f t="shared" si="1"/>
        <v>1.445</v>
      </c>
      <c r="H86" s="30">
        <f t="shared" si="2"/>
        <v>0.19</v>
      </c>
      <c r="I86" s="31">
        <f t="shared" si="3"/>
        <v>0.1314878893</v>
      </c>
    </row>
    <row r="87" ht="22.5" customHeight="1">
      <c r="A87" s="32">
        <v>46063.0</v>
      </c>
      <c r="B87" s="21" t="s">
        <v>136</v>
      </c>
      <c r="C87" s="21"/>
      <c r="D87" s="21" t="s">
        <v>265</v>
      </c>
      <c r="E87" s="21">
        <v>0.95</v>
      </c>
      <c r="F87" s="21">
        <v>1.25</v>
      </c>
      <c r="G87" s="30">
        <f t="shared" si="1"/>
        <v>1.1</v>
      </c>
      <c r="H87" s="30">
        <f t="shared" si="2"/>
        <v>0.3</v>
      </c>
      <c r="I87" s="31">
        <f t="shared" si="3"/>
        <v>0.2727272727</v>
      </c>
    </row>
    <row r="88" ht="22.5" customHeight="1">
      <c r="A88" s="32">
        <v>46063.0</v>
      </c>
      <c r="B88" s="21" t="s">
        <v>139</v>
      </c>
      <c r="C88" s="21"/>
      <c r="D88" s="21" t="s">
        <v>263</v>
      </c>
      <c r="E88" s="21">
        <v>1.8</v>
      </c>
      <c r="F88" s="21">
        <v>2.05</v>
      </c>
      <c r="G88" s="30">
        <f t="shared" si="1"/>
        <v>1.925</v>
      </c>
      <c r="H88" s="30">
        <f t="shared" si="2"/>
        <v>0.25</v>
      </c>
      <c r="I88" s="31">
        <f t="shared" si="3"/>
        <v>0.1298701299</v>
      </c>
    </row>
    <row r="89" ht="22.5" customHeight="1">
      <c r="A89" s="32">
        <v>46063.0</v>
      </c>
      <c r="B89" s="21" t="s">
        <v>139</v>
      </c>
      <c r="C89" s="21"/>
      <c r="D89" s="21" t="s">
        <v>266</v>
      </c>
      <c r="E89" s="21">
        <v>1.55</v>
      </c>
      <c r="F89" s="21">
        <v>1.75</v>
      </c>
      <c r="G89" s="30">
        <f t="shared" si="1"/>
        <v>1.65</v>
      </c>
      <c r="H89" s="30">
        <f t="shared" si="2"/>
        <v>0.2</v>
      </c>
      <c r="I89" s="31">
        <f t="shared" si="3"/>
        <v>0.1212121212</v>
      </c>
    </row>
    <row r="90" ht="22.5" customHeight="1">
      <c r="A90" s="32">
        <v>46063.0</v>
      </c>
      <c r="B90" s="21" t="s">
        <v>133</v>
      </c>
      <c r="C90" s="21"/>
      <c r="D90" s="21" t="s">
        <v>267</v>
      </c>
      <c r="E90" s="21">
        <v>2400.0</v>
      </c>
      <c r="F90" s="21">
        <v>3300.0</v>
      </c>
      <c r="G90" s="30">
        <f t="shared" si="1"/>
        <v>2850</v>
      </c>
      <c r="H90" s="30">
        <f t="shared" si="2"/>
        <v>900</v>
      </c>
      <c r="I90" s="31">
        <f t="shared" si="3"/>
        <v>0.3157894737</v>
      </c>
    </row>
    <row r="91" ht="22.5" customHeight="1">
      <c r="A91" s="32">
        <v>46063.0</v>
      </c>
      <c r="B91" s="21" t="s">
        <v>133</v>
      </c>
      <c r="C91" s="21"/>
      <c r="D91" s="21" t="s">
        <v>245</v>
      </c>
      <c r="E91" s="21">
        <v>2750.0</v>
      </c>
      <c r="F91" s="21">
        <v>3850.0</v>
      </c>
      <c r="G91" s="30">
        <f t="shared" si="1"/>
        <v>3300</v>
      </c>
      <c r="H91" s="30">
        <f t="shared" si="2"/>
        <v>1100</v>
      </c>
      <c r="I91" s="31">
        <f t="shared" si="3"/>
        <v>0.3333333333</v>
      </c>
    </row>
    <row r="92" ht="22.5" customHeight="1">
      <c r="A92" s="32">
        <v>46063.0</v>
      </c>
      <c r="B92" s="21" t="s">
        <v>120</v>
      </c>
      <c r="C92" s="21" t="s">
        <v>144</v>
      </c>
      <c r="D92" s="21" t="s">
        <v>268</v>
      </c>
      <c r="E92" s="21">
        <v>6.75</v>
      </c>
      <c r="F92" s="21">
        <v>9.0</v>
      </c>
      <c r="G92" s="30">
        <f t="shared" si="1"/>
        <v>7.875</v>
      </c>
      <c r="H92" s="30">
        <f t="shared" si="2"/>
        <v>2.25</v>
      </c>
      <c r="I92" s="31">
        <f t="shared" si="3"/>
        <v>0.2857142857</v>
      </c>
    </row>
    <row r="93" ht="22.5" customHeight="1">
      <c r="A93" s="32">
        <v>46063.0</v>
      </c>
      <c r="B93" s="21" t="s">
        <v>120</v>
      </c>
      <c r="C93" s="21" t="s">
        <v>223</v>
      </c>
      <c r="D93" s="21" t="s">
        <v>268</v>
      </c>
      <c r="E93" s="21">
        <v>5.95</v>
      </c>
      <c r="F93" s="21">
        <v>8.2</v>
      </c>
      <c r="G93" s="30">
        <f t="shared" si="1"/>
        <v>7.075</v>
      </c>
      <c r="H93" s="30">
        <f t="shared" si="2"/>
        <v>2.25</v>
      </c>
      <c r="I93" s="31">
        <f t="shared" si="3"/>
        <v>0.3180212014</v>
      </c>
    </row>
    <row r="94" ht="22.5" customHeight="1">
      <c r="A94" s="32">
        <v>46063.0</v>
      </c>
      <c r="B94" s="21" t="s">
        <v>120</v>
      </c>
      <c r="C94" s="21" t="s">
        <v>224</v>
      </c>
      <c r="D94" s="21" t="s">
        <v>268</v>
      </c>
      <c r="E94" s="21">
        <v>5.35</v>
      </c>
      <c r="F94" s="21">
        <v>6.85</v>
      </c>
      <c r="G94" s="30">
        <f t="shared" si="1"/>
        <v>6.1</v>
      </c>
      <c r="H94" s="30">
        <f t="shared" si="2"/>
        <v>1.5</v>
      </c>
      <c r="I94" s="31">
        <f t="shared" si="3"/>
        <v>0.2459016393</v>
      </c>
    </row>
    <row r="95" ht="22.5" customHeight="1">
      <c r="A95" s="32">
        <v>46063.0</v>
      </c>
      <c r="B95" s="21" t="s">
        <v>120</v>
      </c>
      <c r="C95" s="21" t="s">
        <v>225</v>
      </c>
      <c r="D95" s="21" t="s">
        <v>268</v>
      </c>
      <c r="E95" s="21">
        <v>4.85</v>
      </c>
      <c r="F95" s="21">
        <v>6.2</v>
      </c>
      <c r="G95" s="30">
        <f t="shared" si="1"/>
        <v>5.525</v>
      </c>
      <c r="H95" s="30">
        <f t="shared" si="2"/>
        <v>1.35</v>
      </c>
      <c r="I95" s="31">
        <f t="shared" si="3"/>
        <v>0.2443438914</v>
      </c>
    </row>
    <row r="96" ht="22.5" customHeight="1">
      <c r="A96" s="32">
        <v>46063.0</v>
      </c>
      <c r="B96" s="21" t="s">
        <v>120</v>
      </c>
      <c r="C96" s="21" t="s">
        <v>226</v>
      </c>
      <c r="D96" s="21" t="s">
        <v>268</v>
      </c>
      <c r="E96" s="21">
        <v>4.4</v>
      </c>
      <c r="F96" s="21">
        <v>5.25</v>
      </c>
      <c r="G96" s="30">
        <f t="shared" si="1"/>
        <v>4.825</v>
      </c>
      <c r="H96" s="30">
        <f t="shared" si="2"/>
        <v>0.85</v>
      </c>
      <c r="I96" s="31">
        <f t="shared" si="3"/>
        <v>0.1761658031</v>
      </c>
    </row>
    <row r="97" ht="22.5" customHeight="1">
      <c r="A97" s="32">
        <v>46063.0</v>
      </c>
      <c r="B97" s="21" t="s">
        <v>120</v>
      </c>
      <c r="C97" s="21" t="s">
        <v>227</v>
      </c>
      <c r="D97" s="21" t="s">
        <v>268</v>
      </c>
      <c r="E97" s="21">
        <v>4.0</v>
      </c>
      <c r="F97" s="21">
        <v>4.7</v>
      </c>
      <c r="G97" s="30">
        <f t="shared" si="1"/>
        <v>4.35</v>
      </c>
      <c r="H97" s="30">
        <f t="shared" si="2"/>
        <v>0.7</v>
      </c>
      <c r="I97" s="31">
        <f t="shared" si="3"/>
        <v>0.1609195402</v>
      </c>
    </row>
    <row r="98" ht="22.5" customHeight="1">
      <c r="A98" s="32">
        <v>46063.0</v>
      </c>
      <c r="B98" s="21" t="s">
        <v>120</v>
      </c>
      <c r="C98" s="21" t="s">
        <v>269</v>
      </c>
      <c r="D98" s="21" t="s">
        <v>268</v>
      </c>
      <c r="E98" s="21">
        <v>3.5</v>
      </c>
      <c r="F98" s="21">
        <v>4.1</v>
      </c>
      <c r="G98" s="30">
        <f t="shared" si="1"/>
        <v>3.8</v>
      </c>
      <c r="H98" s="30">
        <f t="shared" si="2"/>
        <v>0.6</v>
      </c>
      <c r="I98" s="31">
        <f t="shared" si="3"/>
        <v>0.1578947368</v>
      </c>
    </row>
    <row r="99" ht="22.5" customHeight="1">
      <c r="A99" s="32">
        <v>46063.0</v>
      </c>
      <c r="B99" s="21" t="s">
        <v>129</v>
      </c>
      <c r="C99" s="21" t="s">
        <v>144</v>
      </c>
      <c r="D99" s="21" t="s">
        <v>268</v>
      </c>
      <c r="E99" s="21">
        <v>6.15</v>
      </c>
      <c r="F99" s="21">
        <v>7.95</v>
      </c>
      <c r="G99" s="30">
        <f t="shared" si="1"/>
        <v>7.05</v>
      </c>
      <c r="H99" s="30">
        <f t="shared" si="2"/>
        <v>1.8</v>
      </c>
      <c r="I99" s="31">
        <f t="shared" si="3"/>
        <v>0.2553191489</v>
      </c>
    </row>
    <row r="100" ht="22.5" customHeight="1">
      <c r="A100" s="32">
        <v>46063.0</v>
      </c>
      <c r="B100" s="21" t="s">
        <v>129</v>
      </c>
      <c r="C100" s="21" t="s">
        <v>223</v>
      </c>
      <c r="D100" s="21" t="s">
        <v>268</v>
      </c>
      <c r="E100" s="21">
        <v>5.35</v>
      </c>
      <c r="F100" s="21">
        <v>7.2</v>
      </c>
      <c r="G100" s="30">
        <f t="shared" si="1"/>
        <v>6.275</v>
      </c>
      <c r="H100" s="30">
        <f t="shared" si="2"/>
        <v>1.85</v>
      </c>
      <c r="I100" s="31">
        <f t="shared" si="3"/>
        <v>0.2948207171</v>
      </c>
    </row>
    <row r="101" ht="22.5" customHeight="1">
      <c r="A101" s="32">
        <v>46063.0</v>
      </c>
      <c r="B101" s="21" t="s">
        <v>129</v>
      </c>
      <c r="C101" s="21" t="s">
        <v>224</v>
      </c>
      <c r="D101" s="21" t="s">
        <v>268</v>
      </c>
      <c r="E101" s="21">
        <v>4.8</v>
      </c>
      <c r="F101" s="21">
        <v>6.4</v>
      </c>
      <c r="G101" s="30">
        <f t="shared" si="1"/>
        <v>5.6</v>
      </c>
      <c r="H101" s="30">
        <f t="shared" si="2"/>
        <v>1.6</v>
      </c>
      <c r="I101" s="31">
        <f t="shared" si="3"/>
        <v>0.2857142857</v>
      </c>
    </row>
    <row r="102" ht="22.5" customHeight="1">
      <c r="A102" s="32">
        <v>46063.0</v>
      </c>
      <c r="B102" s="21" t="s">
        <v>129</v>
      </c>
      <c r="C102" s="21" t="s">
        <v>225</v>
      </c>
      <c r="D102" s="21" t="s">
        <v>268</v>
      </c>
      <c r="E102" s="21">
        <v>4.3</v>
      </c>
      <c r="F102" s="21">
        <v>5.95</v>
      </c>
      <c r="G102" s="30">
        <f t="shared" si="1"/>
        <v>5.125</v>
      </c>
      <c r="H102" s="30">
        <f t="shared" si="2"/>
        <v>1.65</v>
      </c>
      <c r="I102" s="31">
        <f t="shared" si="3"/>
        <v>0.3219512195</v>
      </c>
    </row>
    <row r="103" ht="22.5" customHeight="1">
      <c r="A103" s="32">
        <v>46063.0</v>
      </c>
      <c r="B103" s="21" t="s">
        <v>129</v>
      </c>
      <c r="C103" s="21" t="s">
        <v>226</v>
      </c>
      <c r="D103" s="21" t="s">
        <v>268</v>
      </c>
      <c r="E103" s="21">
        <v>3.95</v>
      </c>
      <c r="F103" s="21">
        <v>5.0</v>
      </c>
      <c r="G103" s="30">
        <f t="shared" si="1"/>
        <v>4.475</v>
      </c>
      <c r="H103" s="30">
        <f t="shared" si="2"/>
        <v>1.05</v>
      </c>
      <c r="I103" s="31">
        <f t="shared" si="3"/>
        <v>0.2346368715</v>
      </c>
    </row>
    <row r="104" ht="22.5" customHeight="1">
      <c r="A104" s="32">
        <v>46063.0</v>
      </c>
      <c r="B104" s="21" t="s">
        <v>129</v>
      </c>
      <c r="C104" s="21" t="s">
        <v>227</v>
      </c>
      <c r="D104" s="21" t="s">
        <v>268</v>
      </c>
      <c r="E104" s="21">
        <v>3.55</v>
      </c>
      <c r="F104" s="21">
        <v>4.2</v>
      </c>
      <c r="G104" s="30">
        <f t="shared" si="1"/>
        <v>3.875</v>
      </c>
      <c r="H104" s="30">
        <f t="shared" si="2"/>
        <v>0.65</v>
      </c>
      <c r="I104" s="31">
        <f t="shared" si="3"/>
        <v>0.1677419355</v>
      </c>
    </row>
    <row r="105" ht="22.5" customHeight="1">
      <c r="A105" s="32">
        <v>46063.0</v>
      </c>
      <c r="B105" s="21" t="s">
        <v>129</v>
      </c>
      <c r="C105" s="21" t="s">
        <v>269</v>
      </c>
      <c r="D105" s="21" t="s">
        <v>268</v>
      </c>
      <c r="E105" s="21">
        <v>3.2</v>
      </c>
      <c r="F105" s="21">
        <v>3.9</v>
      </c>
      <c r="G105" s="30">
        <f t="shared" si="1"/>
        <v>3.55</v>
      </c>
      <c r="H105" s="30">
        <f t="shared" si="2"/>
        <v>0.7</v>
      </c>
      <c r="I105" s="31">
        <f t="shared" si="3"/>
        <v>0.1971830986</v>
      </c>
    </row>
  </sheetData>
  <dataValidations>
    <dataValidation type="custom" allowBlank="1" showDropDown="1" sqref="A2:A105">
      <formula1>OR(NOT(ISERROR(DATEVALUE(A2))), AND(ISNUMBER(A2), LEFT(CELL("format", A2))="D"))</formula1>
    </dataValidation>
    <dataValidation type="custom" allowBlank="1" showDropDown="1" sqref="G2:I105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3" max="3" width="14.0"/>
  </cols>
  <sheetData>
    <row r="1" ht="22.5" customHeight="1">
      <c r="A1" s="11" t="s">
        <v>113</v>
      </c>
      <c r="B1" s="11" t="s">
        <v>180</v>
      </c>
      <c r="C1" s="11" t="s">
        <v>181</v>
      </c>
      <c r="D1" s="11" t="s">
        <v>172</v>
      </c>
    </row>
    <row r="2" ht="22.5" customHeight="1">
      <c r="A2" s="34">
        <v>46029.0</v>
      </c>
      <c r="B2" s="2">
        <v>911.0</v>
      </c>
      <c r="C2" s="2">
        <v>146.0</v>
      </c>
      <c r="D2" s="2">
        <v>59.0</v>
      </c>
    </row>
    <row r="3" ht="22.5" customHeight="1">
      <c r="A3" s="34">
        <v>46036.0</v>
      </c>
      <c r="B3" s="2">
        <v>885.0</v>
      </c>
      <c r="C3" s="2">
        <v>126.0</v>
      </c>
      <c r="D3" s="2">
        <v>50.0</v>
      </c>
    </row>
    <row r="4" ht="22.5" customHeight="1">
      <c r="A4" s="34">
        <v>46043.0</v>
      </c>
      <c r="B4" s="2">
        <v>934.0</v>
      </c>
      <c r="C4" s="2">
        <v>115.0</v>
      </c>
      <c r="D4" s="2">
        <v>44.0</v>
      </c>
    </row>
    <row r="5" ht="22.5" customHeight="1">
      <c r="A5" s="34">
        <v>46050.0</v>
      </c>
      <c r="B5" s="2">
        <v>330.0</v>
      </c>
      <c r="C5" s="2">
        <v>56.0</v>
      </c>
      <c r="D5" s="2">
        <v>32.0</v>
      </c>
    </row>
    <row r="6" ht="22.5" customHeight="1">
      <c r="A6" s="34">
        <v>46057.0</v>
      </c>
      <c r="B6" s="2">
        <v>571.0</v>
      </c>
      <c r="C6" s="2">
        <v>103.0</v>
      </c>
      <c r="D6" s="2">
        <v>51.0</v>
      </c>
    </row>
    <row r="7" ht="22.5" customHeight="1">
      <c r="A7" s="34">
        <v>46064.0</v>
      </c>
      <c r="B7" s="2">
        <v>892.0</v>
      </c>
      <c r="C7" s="2">
        <v>134.0</v>
      </c>
      <c r="D7" s="2">
        <v>56.0</v>
      </c>
    </row>
    <row r="8" ht="22.5" customHeight="1">
      <c r="A8" s="34">
        <v>46072.0</v>
      </c>
      <c r="B8" s="2">
        <v>791.0</v>
      </c>
      <c r="C8" s="2">
        <v>128.0</v>
      </c>
      <c r="D8" s="2">
        <v>51.0</v>
      </c>
    </row>
  </sheetData>
  <dataValidations>
    <dataValidation type="custom" allowBlank="1" showDropDown="1" sqref="A2:A8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88"/>
    <col customWidth="1" min="3" max="3" width="15.5"/>
    <col customWidth="1" min="4" max="4" width="18.88"/>
    <col customWidth="1" min="5" max="5" width="12.75"/>
    <col customWidth="1" min="6" max="6" width="13.13"/>
  </cols>
  <sheetData>
    <row r="1" ht="22.5" customHeight="1">
      <c r="A1" s="11" t="s">
        <v>113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  <c r="G1" s="13" t="s">
        <v>188</v>
      </c>
      <c r="H1" s="13" t="s">
        <v>189</v>
      </c>
      <c r="I1" s="13" t="s">
        <v>190</v>
      </c>
    </row>
    <row r="2" ht="22.5" customHeight="1">
      <c r="A2" s="34">
        <v>46029.0</v>
      </c>
      <c r="B2" s="2" t="s">
        <v>136</v>
      </c>
      <c r="D2" s="2" t="s">
        <v>210</v>
      </c>
      <c r="E2" s="2">
        <v>59.0</v>
      </c>
      <c r="F2" s="2">
        <v>126.0</v>
      </c>
      <c r="G2" s="30">
        <f t="shared" ref="G2:G148" si="1">(E2+F2)/2</f>
        <v>92.5</v>
      </c>
      <c r="H2" s="30">
        <f t="shared" ref="H2:H148" si="2">F2-E2</f>
        <v>67</v>
      </c>
      <c r="I2" s="31">
        <f t="shared" ref="I2:I148" si="3">(F2-E2)/G2</f>
        <v>0.7243243243</v>
      </c>
    </row>
    <row r="3" ht="22.5" customHeight="1">
      <c r="A3" s="34">
        <v>46029.0</v>
      </c>
      <c r="B3" s="2" t="s">
        <v>136</v>
      </c>
      <c r="D3" s="2" t="s">
        <v>211</v>
      </c>
      <c r="E3" s="2">
        <v>131.0</v>
      </c>
      <c r="F3" s="2">
        <v>142.0</v>
      </c>
      <c r="G3" s="30">
        <f t="shared" si="1"/>
        <v>136.5</v>
      </c>
      <c r="H3" s="30">
        <f t="shared" si="2"/>
        <v>11</v>
      </c>
      <c r="I3" s="31">
        <f t="shared" si="3"/>
        <v>0.08058608059</v>
      </c>
    </row>
    <row r="4" ht="22.5" customHeight="1">
      <c r="A4" s="34">
        <v>46029.0</v>
      </c>
      <c r="B4" s="2" t="s">
        <v>136</v>
      </c>
      <c r="D4" s="2" t="s">
        <v>212</v>
      </c>
      <c r="E4" s="2">
        <v>144.0</v>
      </c>
      <c r="F4" s="2">
        <v>160.0</v>
      </c>
      <c r="G4" s="30">
        <f t="shared" si="1"/>
        <v>152</v>
      </c>
      <c r="H4" s="30">
        <f t="shared" si="2"/>
        <v>16</v>
      </c>
      <c r="I4" s="31">
        <f t="shared" si="3"/>
        <v>0.1052631579</v>
      </c>
    </row>
    <row r="5" ht="22.5" customHeight="1">
      <c r="A5" s="34">
        <v>46029.0</v>
      </c>
      <c r="B5" s="2" t="s">
        <v>139</v>
      </c>
      <c r="D5" s="2" t="s">
        <v>270</v>
      </c>
      <c r="E5" s="2">
        <v>169.0</v>
      </c>
      <c r="F5" s="2">
        <v>181.0</v>
      </c>
      <c r="G5" s="30">
        <f t="shared" si="1"/>
        <v>175</v>
      </c>
      <c r="H5" s="30">
        <f t="shared" si="2"/>
        <v>12</v>
      </c>
      <c r="I5" s="31">
        <f t="shared" si="3"/>
        <v>0.06857142857</v>
      </c>
    </row>
    <row r="6" ht="22.5" customHeight="1">
      <c r="A6" s="34">
        <v>46029.0</v>
      </c>
      <c r="B6" s="2" t="s">
        <v>139</v>
      </c>
      <c r="D6" s="2" t="s">
        <v>271</v>
      </c>
      <c r="E6" s="2">
        <v>125.0</v>
      </c>
      <c r="F6" s="2">
        <v>160.0</v>
      </c>
      <c r="G6" s="30">
        <f t="shared" si="1"/>
        <v>142.5</v>
      </c>
      <c r="H6" s="30">
        <f t="shared" si="2"/>
        <v>35</v>
      </c>
      <c r="I6" s="31">
        <f t="shared" si="3"/>
        <v>0.2456140351</v>
      </c>
    </row>
    <row r="7" ht="22.5" customHeight="1">
      <c r="A7" s="34">
        <v>46029.0</v>
      </c>
      <c r="B7" s="2" t="s">
        <v>133</v>
      </c>
      <c r="D7" s="2" t="s">
        <v>245</v>
      </c>
      <c r="E7" s="2">
        <v>3600.0</v>
      </c>
      <c r="F7" s="2">
        <v>4500.0</v>
      </c>
      <c r="G7" s="30">
        <f t="shared" si="1"/>
        <v>4050</v>
      </c>
      <c r="H7" s="30">
        <f t="shared" si="2"/>
        <v>900</v>
      </c>
      <c r="I7" s="31">
        <f t="shared" si="3"/>
        <v>0.2222222222</v>
      </c>
    </row>
    <row r="8" ht="22.5" customHeight="1">
      <c r="A8" s="34">
        <v>46029.0</v>
      </c>
      <c r="B8" s="2" t="s">
        <v>133</v>
      </c>
      <c r="D8" s="2" t="s">
        <v>149</v>
      </c>
      <c r="E8" s="2">
        <v>1450.0</v>
      </c>
      <c r="F8" s="2">
        <v>3100.0</v>
      </c>
      <c r="G8" s="30">
        <f t="shared" si="1"/>
        <v>2275</v>
      </c>
      <c r="H8" s="30">
        <f t="shared" si="2"/>
        <v>1650</v>
      </c>
      <c r="I8" s="31">
        <f t="shared" si="3"/>
        <v>0.7252747253</v>
      </c>
    </row>
    <row r="9" ht="22.5" customHeight="1">
      <c r="A9" s="34">
        <v>46029.0</v>
      </c>
      <c r="B9" s="2" t="s">
        <v>120</v>
      </c>
      <c r="C9" s="2" t="s">
        <v>258</v>
      </c>
      <c r="D9" s="2" t="s">
        <v>222</v>
      </c>
      <c r="E9" s="2">
        <v>500.0</v>
      </c>
      <c r="F9" s="2">
        <v>725.0</v>
      </c>
      <c r="G9" s="30">
        <f t="shared" si="1"/>
        <v>612.5</v>
      </c>
      <c r="H9" s="30">
        <f t="shared" si="2"/>
        <v>225</v>
      </c>
      <c r="I9" s="31">
        <f t="shared" si="3"/>
        <v>0.3673469388</v>
      </c>
    </row>
    <row r="10" ht="22.5" customHeight="1">
      <c r="A10" s="34">
        <v>46029.0</v>
      </c>
      <c r="B10" s="2" t="s">
        <v>129</v>
      </c>
      <c r="C10" s="2" t="s">
        <v>258</v>
      </c>
      <c r="D10" s="2" t="s">
        <v>222</v>
      </c>
      <c r="E10" s="2">
        <v>480.0</v>
      </c>
      <c r="F10" s="2">
        <v>710.0</v>
      </c>
      <c r="G10" s="30">
        <f t="shared" si="1"/>
        <v>595</v>
      </c>
      <c r="H10" s="30">
        <f t="shared" si="2"/>
        <v>230</v>
      </c>
      <c r="I10" s="31">
        <f t="shared" si="3"/>
        <v>0.3865546218</v>
      </c>
    </row>
    <row r="11" ht="22.5" customHeight="1">
      <c r="A11" s="34">
        <v>46029.0</v>
      </c>
      <c r="B11" s="2" t="s">
        <v>120</v>
      </c>
      <c r="C11" s="2" t="s">
        <v>224</v>
      </c>
      <c r="D11" s="2" t="s">
        <v>222</v>
      </c>
      <c r="E11" s="2">
        <v>425.0</v>
      </c>
      <c r="F11" s="2">
        <v>635.0</v>
      </c>
      <c r="G11" s="30">
        <f t="shared" si="1"/>
        <v>530</v>
      </c>
      <c r="H11" s="30">
        <f t="shared" si="2"/>
        <v>210</v>
      </c>
      <c r="I11" s="31">
        <f t="shared" si="3"/>
        <v>0.3962264151</v>
      </c>
    </row>
    <row r="12" ht="22.5" customHeight="1">
      <c r="A12" s="34">
        <v>46029.0</v>
      </c>
      <c r="B12" s="2" t="s">
        <v>129</v>
      </c>
      <c r="C12" s="2" t="s">
        <v>224</v>
      </c>
      <c r="D12" s="2" t="s">
        <v>222</v>
      </c>
      <c r="E12" s="2">
        <v>415.0</v>
      </c>
      <c r="F12" s="2">
        <v>570.0</v>
      </c>
      <c r="G12" s="30">
        <f t="shared" si="1"/>
        <v>492.5</v>
      </c>
      <c r="H12" s="30">
        <f t="shared" si="2"/>
        <v>155</v>
      </c>
      <c r="I12" s="31">
        <f t="shared" si="3"/>
        <v>0.3147208122</v>
      </c>
    </row>
    <row r="13" ht="22.5" customHeight="1">
      <c r="A13" s="34">
        <v>46029.0</v>
      </c>
      <c r="B13" s="2" t="s">
        <v>120</v>
      </c>
      <c r="C13" s="2" t="s">
        <v>225</v>
      </c>
      <c r="D13" s="2" t="s">
        <v>222</v>
      </c>
      <c r="E13" s="2">
        <v>385.0</v>
      </c>
      <c r="F13" s="2">
        <v>545.0</v>
      </c>
      <c r="G13" s="30">
        <f t="shared" si="1"/>
        <v>465</v>
      </c>
      <c r="H13" s="30">
        <f t="shared" si="2"/>
        <v>160</v>
      </c>
      <c r="I13" s="31">
        <f t="shared" si="3"/>
        <v>0.3440860215</v>
      </c>
    </row>
    <row r="14" ht="22.5" customHeight="1">
      <c r="A14" s="34">
        <v>46029.0</v>
      </c>
      <c r="B14" s="2" t="s">
        <v>129</v>
      </c>
      <c r="C14" s="2" t="s">
        <v>225</v>
      </c>
      <c r="D14" s="2" t="s">
        <v>222</v>
      </c>
      <c r="E14" s="2">
        <v>400.0</v>
      </c>
      <c r="F14" s="2">
        <v>500.0</v>
      </c>
      <c r="G14" s="30">
        <f t="shared" si="1"/>
        <v>450</v>
      </c>
      <c r="H14" s="30">
        <f t="shared" si="2"/>
        <v>100</v>
      </c>
      <c r="I14" s="31">
        <f t="shared" si="3"/>
        <v>0.2222222222</v>
      </c>
    </row>
    <row r="15" ht="22.5" customHeight="1">
      <c r="A15" s="34">
        <v>46029.0</v>
      </c>
      <c r="B15" s="2" t="s">
        <v>120</v>
      </c>
      <c r="C15" s="2" t="s">
        <v>226</v>
      </c>
      <c r="D15" s="2" t="s">
        <v>222</v>
      </c>
      <c r="E15" s="2">
        <v>360.0</v>
      </c>
      <c r="F15" s="2">
        <v>475.0</v>
      </c>
      <c r="G15" s="30">
        <f t="shared" si="1"/>
        <v>417.5</v>
      </c>
      <c r="H15" s="30">
        <f t="shared" si="2"/>
        <v>115</v>
      </c>
      <c r="I15" s="31">
        <f t="shared" si="3"/>
        <v>0.2754491018</v>
      </c>
    </row>
    <row r="16" ht="22.5" customHeight="1">
      <c r="A16" s="34">
        <v>46029.0</v>
      </c>
      <c r="B16" s="2" t="s">
        <v>129</v>
      </c>
      <c r="C16" s="2" t="s">
        <v>226</v>
      </c>
      <c r="D16" s="2" t="s">
        <v>222</v>
      </c>
      <c r="E16" s="2">
        <v>355.0</v>
      </c>
      <c r="F16" s="2">
        <v>435.0</v>
      </c>
      <c r="G16" s="30">
        <f t="shared" si="1"/>
        <v>395</v>
      </c>
      <c r="H16" s="30">
        <f t="shared" si="2"/>
        <v>80</v>
      </c>
      <c r="I16" s="31">
        <f t="shared" si="3"/>
        <v>0.2025316456</v>
      </c>
    </row>
    <row r="17" ht="22.5" customHeight="1">
      <c r="A17" s="34">
        <v>46029.0</v>
      </c>
      <c r="B17" s="2" t="s">
        <v>120</v>
      </c>
      <c r="C17" s="2" t="s">
        <v>227</v>
      </c>
      <c r="D17" s="2" t="s">
        <v>222</v>
      </c>
      <c r="E17" s="2">
        <v>345.0</v>
      </c>
      <c r="F17" s="2">
        <v>410.0</v>
      </c>
      <c r="G17" s="30">
        <f t="shared" si="1"/>
        <v>377.5</v>
      </c>
      <c r="H17" s="30">
        <f t="shared" si="2"/>
        <v>65</v>
      </c>
      <c r="I17" s="31">
        <f t="shared" si="3"/>
        <v>0.1721854305</v>
      </c>
    </row>
    <row r="18" ht="22.5" customHeight="1">
      <c r="A18" s="34">
        <v>46029.0</v>
      </c>
      <c r="B18" s="2" t="s">
        <v>129</v>
      </c>
      <c r="C18" s="2" t="s">
        <v>227</v>
      </c>
      <c r="D18" s="2" t="s">
        <v>222</v>
      </c>
      <c r="E18" s="2">
        <v>340.0</v>
      </c>
      <c r="F18" s="2">
        <v>385.0</v>
      </c>
      <c r="G18" s="30">
        <f t="shared" si="1"/>
        <v>362.5</v>
      </c>
      <c r="H18" s="30">
        <f t="shared" si="2"/>
        <v>45</v>
      </c>
      <c r="I18" s="31">
        <f t="shared" si="3"/>
        <v>0.124137931</v>
      </c>
    </row>
    <row r="19" ht="22.5" customHeight="1">
      <c r="A19" s="34">
        <v>46029.0</v>
      </c>
      <c r="B19" s="2" t="s">
        <v>120</v>
      </c>
      <c r="C19" s="2" t="s">
        <v>228</v>
      </c>
      <c r="D19" s="2" t="s">
        <v>222</v>
      </c>
      <c r="E19" s="2">
        <v>325.0</v>
      </c>
      <c r="F19" s="2">
        <v>358.0</v>
      </c>
      <c r="G19" s="30">
        <f t="shared" si="1"/>
        <v>341.5</v>
      </c>
      <c r="H19" s="30">
        <f t="shared" si="2"/>
        <v>33</v>
      </c>
      <c r="I19" s="31">
        <f t="shared" si="3"/>
        <v>0.09663250366</v>
      </c>
    </row>
    <row r="20" ht="22.5" customHeight="1">
      <c r="A20" s="34">
        <v>46029.0</v>
      </c>
      <c r="B20" s="2" t="s">
        <v>129</v>
      </c>
      <c r="C20" s="2" t="s">
        <v>228</v>
      </c>
      <c r="D20" s="2" t="s">
        <v>222</v>
      </c>
      <c r="E20" s="2">
        <v>320.0</v>
      </c>
      <c r="F20" s="2">
        <v>342.0</v>
      </c>
      <c r="G20" s="30">
        <f t="shared" si="1"/>
        <v>331</v>
      </c>
      <c r="H20" s="30">
        <f t="shared" si="2"/>
        <v>22</v>
      </c>
      <c r="I20" s="31">
        <f t="shared" si="3"/>
        <v>0.0664652568</v>
      </c>
    </row>
    <row r="21" ht="22.5" customHeight="1">
      <c r="A21" s="34">
        <v>46029.0</v>
      </c>
      <c r="B21" s="2" t="s">
        <v>120</v>
      </c>
      <c r="C21" s="2" t="s">
        <v>229</v>
      </c>
      <c r="D21" s="2" t="s">
        <v>222</v>
      </c>
      <c r="E21" s="2">
        <v>225.0</v>
      </c>
      <c r="F21" s="2">
        <v>350.0</v>
      </c>
      <c r="G21" s="30">
        <f t="shared" si="1"/>
        <v>287.5</v>
      </c>
      <c r="H21" s="30">
        <f t="shared" si="2"/>
        <v>125</v>
      </c>
      <c r="I21" s="31">
        <f t="shared" si="3"/>
        <v>0.4347826087</v>
      </c>
    </row>
    <row r="22" ht="22.5" customHeight="1">
      <c r="A22" s="34">
        <v>46029.0</v>
      </c>
      <c r="B22" s="2" t="s">
        <v>129</v>
      </c>
      <c r="C22" s="2" t="s">
        <v>229</v>
      </c>
      <c r="D22" s="2" t="s">
        <v>222</v>
      </c>
      <c r="E22" s="2">
        <v>220.0</v>
      </c>
      <c r="F22" s="2">
        <v>330.0</v>
      </c>
      <c r="G22" s="30">
        <f t="shared" si="1"/>
        <v>275</v>
      </c>
      <c r="H22" s="30">
        <f t="shared" si="2"/>
        <v>110</v>
      </c>
      <c r="I22" s="31">
        <f t="shared" si="3"/>
        <v>0.4</v>
      </c>
    </row>
    <row r="23" ht="22.5" customHeight="1">
      <c r="A23" s="35">
        <v>46036.0</v>
      </c>
      <c r="B23" s="21" t="s">
        <v>136</v>
      </c>
      <c r="C23" s="21"/>
      <c r="D23" s="21" t="s">
        <v>210</v>
      </c>
      <c r="E23" s="21">
        <v>85.0</v>
      </c>
      <c r="F23" s="21">
        <v>128.0</v>
      </c>
      <c r="G23" s="30">
        <f t="shared" si="1"/>
        <v>106.5</v>
      </c>
      <c r="H23" s="30">
        <f t="shared" si="2"/>
        <v>43</v>
      </c>
      <c r="I23" s="31">
        <f t="shared" si="3"/>
        <v>0.4037558685</v>
      </c>
    </row>
    <row r="24" ht="22.5" customHeight="1">
      <c r="A24" s="35">
        <v>46036.0</v>
      </c>
      <c r="B24" s="21" t="s">
        <v>136</v>
      </c>
      <c r="C24" s="21"/>
      <c r="D24" s="21" t="s">
        <v>211</v>
      </c>
      <c r="E24" s="21">
        <v>131.0</v>
      </c>
      <c r="F24" s="21">
        <v>142.0</v>
      </c>
      <c r="G24" s="30">
        <f t="shared" si="1"/>
        <v>136.5</v>
      </c>
      <c r="H24" s="30">
        <f t="shared" si="2"/>
        <v>11</v>
      </c>
      <c r="I24" s="31">
        <f t="shared" si="3"/>
        <v>0.08058608059</v>
      </c>
    </row>
    <row r="25" ht="22.5" customHeight="1">
      <c r="A25" s="35">
        <v>46036.0</v>
      </c>
      <c r="B25" s="21" t="s">
        <v>136</v>
      </c>
      <c r="C25" s="21"/>
      <c r="D25" s="21" t="s">
        <v>212</v>
      </c>
      <c r="E25" s="21">
        <v>144.0</v>
      </c>
      <c r="F25" s="21">
        <v>168.0</v>
      </c>
      <c r="G25" s="30">
        <f t="shared" si="1"/>
        <v>156</v>
      </c>
      <c r="H25" s="30">
        <f t="shared" si="2"/>
        <v>24</v>
      </c>
      <c r="I25" s="31">
        <f t="shared" si="3"/>
        <v>0.1538461538</v>
      </c>
    </row>
    <row r="26" ht="22.5" customHeight="1">
      <c r="A26" s="35">
        <v>46036.0</v>
      </c>
      <c r="B26" s="21" t="s">
        <v>139</v>
      </c>
      <c r="C26" s="21"/>
      <c r="D26" s="21" t="s">
        <v>270</v>
      </c>
      <c r="E26" s="21">
        <v>171.0</v>
      </c>
      <c r="F26" s="21">
        <v>186.0</v>
      </c>
      <c r="G26" s="30">
        <f t="shared" si="1"/>
        <v>178.5</v>
      </c>
      <c r="H26" s="30">
        <f t="shared" si="2"/>
        <v>15</v>
      </c>
      <c r="I26" s="31">
        <f t="shared" si="3"/>
        <v>0.08403361345</v>
      </c>
    </row>
    <row r="27" ht="22.5" customHeight="1">
      <c r="A27" s="35">
        <v>46036.0</v>
      </c>
      <c r="B27" s="21" t="s">
        <v>139</v>
      </c>
      <c r="C27" s="21"/>
      <c r="D27" s="21" t="s">
        <v>271</v>
      </c>
      <c r="E27" s="21">
        <v>140.0</v>
      </c>
      <c r="F27" s="21">
        <v>168.0</v>
      </c>
      <c r="G27" s="30">
        <f t="shared" si="1"/>
        <v>154</v>
      </c>
      <c r="H27" s="30">
        <f t="shared" si="2"/>
        <v>28</v>
      </c>
      <c r="I27" s="31">
        <f t="shared" si="3"/>
        <v>0.1818181818</v>
      </c>
    </row>
    <row r="28" ht="22.5" customHeight="1">
      <c r="A28" s="35">
        <v>46036.0</v>
      </c>
      <c r="B28" s="21" t="s">
        <v>133</v>
      </c>
      <c r="C28" s="21"/>
      <c r="D28" s="21" t="s">
        <v>245</v>
      </c>
      <c r="E28" s="21">
        <v>3000.0</v>
      </c>
      <c r="F28" s="21">
        <v>4400.0</v>
      </c>
      <c r="G28" s="30">
        <f t="shared" si="1"/>
        <v>3700</v>
      </c>
      <c r="H28" s="30">
        <f t="shared" si="2"/>
        <v>1400</v>
      </c>
      <c r="I28" s="31">
        <f t="shared" si="3"/>
        <v>0.3783783784</v>
      </c>
    </row>
    <row r="29" ht="22.5" customHeight="1">
      <c r="A29" s="35">
        <v>46036.0</v>
      </c>
      <c r="B29" s="21" t="s">
        <v>133</v>
      </c>
      <c r="C29" s="21"/>
      <c r="D29" s="21" t="s">
        <v>149</v>
      </c>
      <c r="E29" s="21">
        <v>2200.0</v>
      </c>
      <c r="F29" s="21">
        <v>3600.0</v>
      </c>
      <c r="G29" s="30">
        <f t="shared" si="1"/>
        <v>2900</v>
      </c>
      <c r="H29" s="30">
        <f t="shared" si="2"/>
        <v>1400</v>
      </c>
      <c r="I29" s="31">
        <f t="shared" si="3"/>
        <v>0.4827586207</v>
      </c>
    </row>
    <row r="30" ht="22.5" customHeight="1">
      <c r="A30" s="35">
        <v>46036.0</v>
      </c>
      <c r="B30" s="21" t="s">
        <v>120</v>
      </c>
      <c r="C30" s="21" t="s">
        <v>258</v>
      </c>
      <c r="D30" s="21" t="s">
        <v>222</v>
      </c>
      <c r="E30" s="21">
        <v>500.0</v>
      </c>
      <c r="F30" s="21">
        <v>655.0</v>
      </c>
      <c r="G30" s="30">
        <f t="shared" si="1"/>
        <v>577.5</v>
      </c>
      <c r="H30" s="30">
        <f t="shared" si="2"/>
        <v>155</v>
      </c>
      <c r="I30" s="31">
        <f t="shared" si="3"/>
        <v>0.2683982684</v>
      </c>
    </row>
    <row r="31" ht="22.5" customHeight="1">
      <c r="A31" s="35">
        <v>46036.0</v>
      </c>
      <c r="B31" s="21" t="s">
        <v>129</v>
      </c>
      <c r="C31" s="21" t="s">
        <v>258</v>
      </c>
      <c r="D31" s="21" t="s">
        <v>222</v>
      </c>
      <c r="E31" s="21">
        <v>480.0</v>
      </c>
      <c r="F31" s="21">
        <v>670.0</v>
      </c>
      <c r="G31" s="30">
        <f t="shared" si="1"/>
        <v>575</v>
      </c>
      <c r="H31" s="30">
        <f t="shared" si="2"/>
        <v>190</v>
      </c>
      <c r="I31" s="31">
        <f t="shared" si="3"/>
        <v>0.3304347826</v>
      </c>
    </row>
    <row r="32" ht="22.5" customHeight="1">
      <c r="A32" s="35">
        <v>46036.0</v>
      </c>
      <c r="B32" s="21" t="s">
        <v>120</v>
      </c>
      <c r="C32" s="21" t="s">
        <v>224</v>
      </c>
      <c r="D32" s="21" t="s">
        <v>222</v>
      </c>
      <c r="E32" s="21">
        <v>425.0</v>
      </c>
      <c r="F32" s="21">
        <v>605.0</v>
      </c>
      <c r="G32" s="30">
        <f t="shared" si="1"/>
        <v>515</v>
      </c>
      <c r="H32" s="30">
        <f t="shared" si="2"/>
        <v>180</v>
      </c>
      <c r="I32" s="31">
        <f t="shared" si="3"/>
        <v>0.3495145631</v>
      </c>
    </row>
    <row r="33" ht="22.5" customHeight="1">
      <c r="A33" s="35">
        <v>46036.0</v>
      </c>
      <c r="B33" s="21" t="s">
        <v>129</v>
      </c>
      <c r="C33" s="21" t="s">
        <v>224</v>
      </c>
      <c r="D33" s="21" t="s">
        <v>222</v>
      </c>
      <c r="E33" s="21">
        <v>415.0</v>
      </c>
      <c r="F33" s="21">
        <v>545.0</v>
      </c>
      <c r="G33" s="30">
        <f t="shared" si="1"/>
        <v>480</v>
      </c>
      <c r="H33" s="30">
        <f t="shared" si="2"/>
        <v>130</v>
      </c>
      <c r="I33" s="31">
        <f t="shared" si="3"/>
        <v>0.2708333333</v>
      </c>
    </row>
    <row r="34" ht="22.5" customHeight="1">
      <c r="A34" s="35">
        <v>46036.0</v>
      </c>
      <c r="B34" s="21" t="s">
        <v>120</v>
      </c>
      <c r="C34" s="21" t="s">
        <v>225</v>
      </c>
      <c r="D34" s="21" t="s">
        <v>222</v>
      </c>
      <c r="E34" s="21">
        <v>385.0</v>
      </c>
      <c r="F34" s="21">
        <v>530.0</v>
      </c>
      <c r="G34" s="30">
        <f t="shared" si="1"/>
        <v>457.5</v>
      </c>
      <c r="H34" s="30">
        <f t="shared" si="2"/>
        <v>145</v>
      </c>
      <c r="I34" s="31">
        <f t="shared" si="3"/>
        <v>0.3169398907</v>
      </c>
    </row>
    <row r="35" ht="22.5" customHeight="1">
      <c r="A35" s="35">
        <v>46036.0</v>
      </c>
      <c r="B35" s="21" t="s">
        <v>129</v>
      </c>
      <c r="C35" s="21" t="s">
        <v>225</v>
      </c>
      <c r="D35" s="21" t="s">
        <v>222</v>
      </c>
      <c r="E35" s="21">
        <v>400.0</v>
      </c>
      <c r="F35" s="21">
        <v>485.0</v>
      </c>
      <c r="G35" s="30">
        <f t="shared" si="1"/>
        <v>442.5</v>
      </c>
      <c r="H35" s="30">
        <f t="shared" si="2"/>
        <v>85</v>
      </c>
      <c r="I35" s="31">
        <f t="shared" si="3"/>
        <v>0.1920903955</v>
      </c>
    </row>
    <row r="36" ht="22.5" customHeight="1">
      <c r="A36" s="35">
        <v>46036.0</v>
      </c>
      <c r="B36" s="21" t="s">
        <v>120</v>
      </c>
      <c r="C36" s="21" t="s">
        <v>226</v>
      </c>
      <c r="D36" s="21" t="s">
        <v>222</v>
      </c>
      <c r="E36" s="21">
        <v>360.0</v>
      </c>
      <c r="F36" s="21">
        <v>490.0</v>
      </c>
      <c r="G36" s="30">
        <f t="shared" si="1"/>
        <v>425</v>
      </c>
      <c r="H36" s="30">
        <f t="shared" si="2"/>
        <v>130</v>
      </c>
      <c r="I36" s="31">
        <f t="shared" si="3"/>
        <v>0.3058823529</v>
      </c>
    </row>
    <row r="37" ht="22.5" customHeight="1">
      <c r="A37" s="35">
        <v>46036.0</v>
      </c>
      <c r="B37" s="21" t="s">
        <v>129</v>
      </c>
      <c r="C37" s="21" t="s">
        <v>226</v>
      </c>
      <c r="D37" s="21" t="s">
        <v>222</v>
      </c>
      <c r="E37" s="21">
        <v>355.0</v>
      </c>
      <c r="F37" s="21">
        <v>430.0</v>
      </c>
      <c r="G37" s="30">
        <f t="shared" si="1"/>
        <v>392.5</v>
      </c>
      <c r="H37" s="30">
        <f t="shared" si="2"/>
        <v>75</v>
      </c>
      <c r="I37" s="31">
        <f t="shared" si="3"/>
        <v>0.1910828025</v>
      </c>
    </row>
    <row r="38" ht="22.5" customHeight="1">
      <c r="A38" s="35">
        <v>46036.0</v>
      </c>
      <c r="B38" s="21" t="s">
        <v>120</v>
      </c>
      <c r="C38" s="21" t="s">
        <v>227</v>
      </c>
      <c r="D38" s="21" t="s">
        <v>222</v>
      </c>
      <c r="E38" s="21">
        <v>345.0</v>
      </c>
      <c r="F38" s="21">
        <v>405.0</v>
      </c>
      <c r="G38" s="30">
        <f t="shared" si="1"/>
        <v>375</v>
      </c>
      <c r="H38" s="30">
        <f t="shared" si="2"/>
        <v>60</v>
      </c>
      <c r="I38" s="31">
        <f t="shared" si="3"/>
        <v>0.16</v>
      </c>
    </row>
    <row r="39" ht="22.5" customHeight="1">
      <c r="A39" s="35">
        <v>46036.0</v>
      </c>
      <c r="B39" s="21" t="s">
        <v>129</v>
      </c>
      <c r="C39" s="21" t="s">
        <v>227</v>
      </c>
      <c r="D39" s="21" t="s">
        <v>222</v>
      </c>
      <c r="E39" s="21">
        <v>340.0</v>
      </c>
      <c r="F39" s="21">
        <v>405.0</v>
      </c>
      <c r="G39" s="30">
        <f t="shared" si="1"/>
        <v>372.5</v>
      </c>
      <c r="H39" s="30">
        <f t="shared" si="2"/>
        <v>65</v>
      </c>
      <c r="I39" s="31">
        <f t="shared" si="3"/>
        <v>0.1744966443</v>
      </c>
    </row>
    <row r="40" ht="22.5" customHeight="1">
      <c r="A40" s="35">
        <v>46036.0</v>
      </c>
      <c r="B40" s="21" t="s">
        <v>120</v>
      </c>
      <c r="C40" s="21" t="s">
        <v>228</v>
      </c>
      <c r="D40" s="21" t="s">
        <v>222</v>
      </c>
      <c r="E40" s="21">
        <v>325.0</v>
      </c>
      <c r="F40" s="21">
        <v>367.0</v>
      </c>
      <c r="G40" s="30">
        <f t="shared" si="1"/>
        <v>346</v>
      </c>
      <c r="H40" s="30">
        <f t="shared" si="2"/>
        <v>42</v>
      </c>
      <c r="I40" s="31">
        <f t="shared" si="3"/>
        <v>0.1213872832</v>
      </c>
    </row>
    <row r="41" ht="22.5" customHeight="1">
      <c r="A41" s="35">
        <v>46036.0</v>
      </c>
      <c r="B41" s="21" t="s">
        <v>129</v>
      </c>
      <c r="C41" s="21" t="s">
        <v>228</v>
      </c>
      <c r="D41" s="21" t="s">
        <v>222</v>
      </c>
      <c r="E41" s="21">
        <v>320.0</v>
      </c>
      <c r="F41" s="21">
        <v>340.0</v>
      </c>
      <c r="G41" s="30">
        <f t="shared" si="1"/>
        <v>330</v>
      </c>
      <c r="H41" s="30">
        <f t="shared" si="2"/>
        <v>20</v>
      </c>
      <c r="I41" s="31">
        <f t="shared" si="3"/>
        <v>0.06060606061</v>
      </c>
    </row>
    <row r="42" ht="22.5" customHeight="1">
      <c r="A42" s="35">
        <v>46036.0</v>
      </c>
      <c r="B42" s="21" t="s">
        <v>120</v>
      </c>
      <c r="C42" s="21" t="s">
        <v>229</v>
      </c>
      <c r="D42" s="21" t="s">
        <v>222</v>
      </c>
      <c r="E42" s="21">
        <v>225.0</v>
      </c>
      <c r="F42" s="21">
        <v>340.0</v>
      </c>
      <c r="G42" s="30">
        <f t="shared" si="1"/>
        <v>282.5</v>
      </c>
      <c r="H42" s="30">
        <f t="shared" si="2"/>
        <v>115</v>
      </c>
      <c r="I42" s="31">
        <f t="shared" si="3"/>
        <v>0.407079646</v>
      </c>
    </row>
    <row r="43" ht="22.5" customHeight="1">
      <c r="A43" s="35">
        <v>46036.0</v>
      </c>
      <c r="B43" s="21" t="s">
        <v>129</v>
      </c>
      <c r="C43" s="21" t="s">
        <v>229</v>
      </c>
      <c r="D43" s="21" t="s">
        <v>222</v>
      </c>
      <c r="E43" s="21">
        <v>220.0</v>
      </c>
      <c r="F43" s="21">
        <v>330.0</v>
      </c>
      <c r="G43" s="30">
        <f t="shared" si="1"/>
        <v>275</v>
      </c>
      <c r="H43" s="30">
        <f t="shared" si="2"/>
        <v>110</v>
      </c>
      <c r="I43" s="31">
        <f t="shared" si="3"/>
        <v>0.4</v>
      </c>
    </row>
    <row r="44" ht="22.5" customHeight="1">
      <c r="A44" s="35">
        <v>46043.0</v>
      </c>
      <c r="B44" s="21" t="s">
        <v>136</v>
      </c>
      <c r="C44" s="21"/>
      <c r="D44" s="21" t="s">
        <v>210</v>
      </c>
      <c r="E44" s="21">
        <v>70.0</v>
      </c>
      <c r="F44" s="21">
        <v>127.0</v>
      </c>
      <c r="G44" s="30">
        <f t="shared" si="1"/>
        <v>98.5</v>
      </c>
      <c r="H44" s="30">
        <f t="shared" si="2"/>
        <v>57</v>
      </c>
      <c r="I44" s="31">
        <f t="shared" si="3"/>
        <v>0.578680203</v>
      </c>
    </row>
    <row r="45" ht="22.5" customHeight="1">
      <c r="A45" s="35">
        <v>46043.0</v>
      </c>
      <c r="B45" s="21" t="s">
        <v>136</v>
      </c>
      <c r="C45" s="21"/>
      <c r="D45" s="21" t="s">
        <v>211</v>
      </c>
      <c r="E45" s="21">
        <v>131.0</v>
      </c>
      <c r="F45" s="21">
        <v>142.0</v>
      </c>
      <c r="G45" s="30">
        <f t="shared" si="1"/>
        <v>136.5</v>
      </c>
      <c r="H45" s="30">
        <f t="shared" si="2"/>
        <v>11</v>
      </c>
      <c r="I45" s="31">
        <f t="shared" si="3"/>
        <v>0.08058608059</v>
      </c>
    </row>
    <row r="46" ht="22.5" customHeight="1">
      <c r="A46" s="35">
        <v>46043.0</v>
      </c>
      <c r="B46" s="21" t="s">
        <v>136</v>
      </c>
      <c r="C46" s="21"/>
      <c r="D46" s="21" t="s">
        <v>212</v>
      </c>
      <c r="E46" s="21">
        <v>144.0</v>
      </c>
      <c r="F46" s="21">
        <v>165.0</v>
      </c>
      <c r="G46" s="30">
        <f t="shared" si="1"/>
        <v>154.5</v>
      </c>
      <c r="H46" s="30">
        <f t="shared" si="2"/>
        <v>21</v>
      </c>
      <c r="I46" s="31">
        <f t="shared" si="3"/>
        <v>0.1359223301</v>
      </c>
    </row>
    <row r="47" ht="22.5" customHeight="1">
      <c r="A47" s="35">
        <v>46043.0</v>
      </c>
      <c r="B47" s="21" t="s">
        <v>139</v>
      </c>
      <c r="C47" s="21"/>
      <c r="D47" s="21" t="s">
        <v>270</v>
      </c>
      <c r="E47" s="21">
        <v>171.0</v>
      </c>
      <c r="F47" s="21">
        <v>180.0</v>
      </c>
      <c r="G47" s="30">
        <f t="shared" si="1"/>
        <v>175.5</v>
      </c>
      <c r="H47" s="30">
        <f t="shared" si="2"/>
        <v>9</v>
      </c>
      <c r="I47" s="31">
        <f t="shared" si="3"/>
        <v>0.05128205128</v>
      </c>
    </row>
    <row r="48" ht="22.5" customHeight="1">
      <c r="A48" s="35">
        <v>46043.0</v>
      </c>
      <c r="B48" s="21" t="s">
        <v>139</v>
      </c>
      <c r="C48" s="21"/>
      <c r="D48" s="21" t="s">
        <v>271</v>
      </c>
      <c r="E48" s="21">
        <v>125.0</v>
      </c>
      <c r="F48" s="21">
        <v>168.0</v>
      </c>
      <c r="G48" s="30">
        <f t="shared" si="1"/>
        <v>146.5</v>
      </c>
      <c r="H48" s="30">
        <f t="shared" si="2"/>
        <v>43</v>
      </c>
      <c r="I48" s="31">
        <f t="shared" si="3"/>
        <v>0.2935153584</v>
      </c>
    </row>
    <row r="49" ht="22.5" customHeight="1">
      <c r="A49" s="35">
        <v>46043.0</v>
      </c>
      <c r="B49" s="21" t="s">
        <v>133</v>
      </c>
      <c r="C49" s="21"/>
      <c r="D49" s="21" t="s">
        <v>245</v>
      </c>
      <c r="E49" s="21">
        <v>3000.0</v>
      </c>
      <c r="F49" s="21">
        <v>4400.0</v>
      </c>
      <c r="G49" s="30">
        <f t="shared" si="1"/>
        <v>3700</v>
      </c>
      <c r="H49" s="30">
        <f t="shared" si="2"/>
        <v>1400</v>
      </c>
      <c r="I49" s="31">
        <f t="shared" si="3"/>
        <v>0.3783783784</v>
      </c>
    </row>
    <row r="50" ht="22.5" customHeight="1">
      <c r="A50" s="35">
        <v>46043.0</v>
      </c>
      <c r="B50" s="21" t="s">
        <v>133</v>
      </c>
      <c r="C50" s="21"/>
      <c r="D50" s="21" t="s">
        <v>149</v>
      </c>
      <c r="E50" s="21">
        <v>2200.0</v>
      </c>
      <c r="F50" s="21">
        <v>3600.0</v>
      </c>
      <c r="G50" s="30">
        <f t="shared" si="1"/>
        <v>2900</v>
      </c>
      <c r="H50" s="30">
        <f t="shared" si="2"/>
        <v>1400</v>
      </c>
      <c r="I50" s="31">
        <f t="shared" si="3"/>
        <v>0.4827586207</v>
      </c>
    </row>
    <row r="51" ht="22.5" customHeight="1">
      <c r="A51" s="35">
        <v>46043.0</v>
      </c>
      <c r="B51" s="21" t="s">
        <v>120</v>
      </c>
      <c r="C51" s="21" t="s">
        <v>258</v>
      </c>
      <c r="D51" s="21" t="s">
        <v>222</v>
      </c>
      <c r="E51" s="21">
        <v>500.0</v>
      </c>
      <c r="F51" s="21">
        <v>755.0</v>
      </c>
      <c r="G51" s="30">
        <f t="shared" si="1"/>
        <v>627.5</v>
      </c>
      <c r="H51" s="30">
        <f t="shared" si="2"/>
        <v>255</v>
      </c>
      <c r="I51" s="31">
        <f t="shared" si="3"/>
        <v>0.406374502</v>
      </c>
    </row>
    <row r="52" ht="22.5" customHeight="1">
      <c r="A52" s="35">
        <v>46043.0</v>
      </c>
      <c r="B52" s="21" t="s">
        <v>129</v>
      </c>
      <c r="C52" s="21" t="s">
        <v>258</v>
      </c>
      <c r="D52" s="21" t="s">
        <v>222</v>
      </c>
      <c r="E52" s="21">
        <v>480.0</v>
      </c>
      <c r="F52" s="21">
        <v>690.0</v>
      </c>
      <c r="G52" s="30">
        <f t="shared" si="1"/>
        <v>585</v>
      </c>
      <c r="H52" s="30">
        <f t="shared" si="2"/>
        <v>210</v>
      </c>
      <c r="I52" s="31">
        <f t="shared" si="3"/>
        <v>0.358974359</v>
      </c>
    </row>
    <row r="53" ht="22.5" customHeight="1">
      <c r="A53" s="35">
        <v>46043.0</v>
      </c>
      <c r="B53" s="21" t="s">
        <v>120</v>
      </c>
      <c r="C53" s="21" t="s">
        <v>224</v>
      </c>
      <c r="D53" s="21" t="s">
        <v>222</v>
      </c>
      <c r="E53" s="21">
        <v>425.0</v>
      </c>
      <c r="F53" s="21">
        <v>605.0</v>
      </c>
      <c r="G53" s="30">
        <f t="shared" si="1"/>
        <v>515</v>
      </c>
      <c r="H53" s="30">
        <f t="shared" si="2"/>
        <v>180</v>
      </c>
      <c r="I53" s="31">
        <f t="shared" si="3"/>
        <v>0.3495145631</v>
      </c>
    </row>
    <row r="54" ht="22.5" customHeight="1">
      <c r="A54" s="35">
        <v>46043.0</v>
      </c>
      <c r="B54" s="21" t="s">
        <v>129</v>
      </c>
      <c r="C54" s="21" t="s">
        <v>224</v>
      </c>
      <c r="D54" s="21" t="s">
        <v>222</v>
      </c>
      <c r="E54" s="21">
        <v>415.0</v>
      </c>
      <c r="F54" s="21">
        <v>560.0</v>
      </c>
      <c r="G54" s="30">
        <f t="shared" si="1"/>
        <v>487.5</v>
      </c>
      <c r="H54" s="30">
        <f t="shared" si="2"/>
        <v>145</v>
      </c>
      <c r="I54" s="31">
        <f t="shared" si="3"/>
        <v>0.2974358974</v>
      </c>
    </row>
    <row r="55" ht="22.5" customHeight="1">
      <c r="A55" s="35">
        <v>46043.0</v>
      </c>
      <c r="B55" s="21" t="s">
        <v>120</v>
      </c>
      <c r="C55" s="21" t="s">
        <v>225</v>
      </c>
      <c r="D55" s="21" t="s">
        <v>222</v>
      </c>
      <c r="E55" s="21">
        <v>385.0</v>
      </c>
      <c r="F55" s="21">
        <v>505.0</v>
      </c>
      <c r="G55" s="30">
        <f t="shared" si="1"/>
        <v>445</v>
      </c>
      <c r="H55" s="30">
        <f t="shared" si="2"/>
        <v>120</v>
      </c>
      <c r="I55" s="31">
        <f t="shared" si="3"/>
        <v>0.2696629213</v>
      </c>
    </row>
    <row r="56" ht="22.5" customHeight="1">
      <c r="A56" s="35">
        <v>46043.0</v>
      </c>
      <c r="B56" s="21" t="s">
        <v>129</v>
      </c>
      <c r="C56" s="21" t="s">
        <v>225</v>
      </c>
      <c r="D56" s="21" t="s">
        <v>222</v>
      </c>
      <c r="E56" s="21">
        <v>400.0</v>
      </c>
      <c r="F56" s="21">
        <v>467.0</v>
      </c>
      <c r="G56" s="30">
        <f t="shared" si="1"/>
        <v>433.5</v>
      </c>
      <c r="H56" s="30">
        <f t="shared" si="2"/>
        <v>67</v>
      </c>
      <c r="I56" s="31">
        <f t="shared" si="3"/>
        <v>0.15455594</v>
      </c>
    </row>
    <row r="57" ht="22.5" customHeight="1">
      <c r="A57" s="35">
        <v>46043.0</v>
      </c>
      <c r="B57" s="21" t="s">
        <v>120</v>
      </c>
      <c r="C57" s="21" t="s">
        <v>226</v>
      </c>
      <c r="D57" s="21" t="s">
        <v>222</v>
      </c>
      <c r="E57" s="21">
        <v>360.0</v>
      </c>
      <c r="F57" s="21">
        <v>470.0</v>
      </c>
      <c r="G57" s="30">
        <f t="shared" si="1"/>
        <v>415</v>
      </c>
      <c r="H57" s="30">
        <f t="shared" si="2"/>
        <v>110</v>
      </c>
      <c r="I57" s="31">
        <f t="shared" si="3"/>
        <v>0.265060241</v>
      </c>
    </row>
    <row r="58" ht="22.5" customHeight="1">
      <c r="A58" s="35">
        <v>46043.0</v>
      </c>
      <c r="B58" s="21" t="s">
        <v>129</v>
      </c>
      <c r="C58" s="21" t="s">
        <v>226</v>
      </c>
      <c r="D58" s="21" t="s">
        <v>222</v>
      </c>
      <c r="E58" s="21">
        <v>355.0</v>
      </c>
      <c r="F58" s="21">
        <v>470.0</v>
      </c>
      <c r="G58" s="30">
        <f t="shared" si="1"/>
        <v>412.5</v>
      </c>
      <c r="H58" s="30">
        <f t="shared" si="2"/>
        <v>115</v>
      </c>
      <c r="I58" s="31">
        <f t="shared" si="3"/>
        <v>0.2787878788</v>
      </c>
    </row>
    <row r="59" ht="22.5" customHeight="1">
      <c r="A59" s="35">
        <v>46043.0</v>
      </c>
      <c r="B59" s="21" t="s">
        <v>120</v>
      </c>
      <c r="C59" s="21" t="s">
        <v>227</v>
      </c>
      <c r="D59" s="21" t="s">
        <v>222</v>
      </c>
      <c r="E59" s="21">
        <v>345.0</v>
      </c>
      <c r="F59" s="21">
        <v>415.0</v>
      </c>
      <c r="G59" s="30">
        <f t="shared" si="1"/>
        <v>380</v>
      </c>
      <c r="H59" s="30">
        <f t="shared" si="2"/>
        <v>70</v>
      </c>
      <c r="I59" s="31">
        <f t="shared" si="3"/>
        <v>0.1842105263</v>
      </c>
    </row>
    <row r="60" ht="22.5" customHeight="1">
      <c r="A60" s="35">
        <v>46043.0</v>
      </c>
      <c r="B60" s="21" t="s">
        <v>129</v>
      </c>
      <c r="C60" s="21" t="s">
        <v>227</v>
      </c>
      <c r="D60" s="21" t="s">
        <v>222</v>
      </c>
      <c r="E60" s="21">
        <v>340.0</v>
      </c>
      <c r="F60" s="21">
        <v>375.0</v>
      </c>
      <c r="G60" s="30">
        <f t="shared" si="1"/>
        <v>357.5</v>
      </c>
      <c r="H60" s="30">
        <f t="shared" si="2"/>
        <v>35</v>
      </c>
      <c r="I60" s="31">
        <f t="shared" si="3"/>
        <v>0.0979020979</v>
      </c>
    </row>
    <row r="61" ht="22.5" customHeight="1">
      <c r="A61" s="35">
        <v>46043.0</v>
      </c>
      <c r="B61" s="21" t="s">
        <v>120</v>
      </c>
      <c r="C61" s="21" t="s">
        <v>228</v>
      </c>
      <c r="D61" s="21" t="s">
        <v>222</v>
      </c>
      <c r="E61" s="21">
        <v>325.0</v>
      </c>
      <c r="F61" s="21">
        <v>400.0</v>
      </c>
      <c r="G61" s="30">
        <f t="shared" si="1"/>
        <v>362.5</v>
      </c>
      <c r="H61" s="30">
        <f t="shared" si="2"/>
        <v>75</v>
      </c>
      <c r="I61" s="31">
        <f t="shared" si="3"/>
        <v>0.2068965517</v>
      </c>
    </row>
    <row r="62" ht="22.5" customHeight="1">
      <c r="A62" s="35">
        <v>46043.0</v>
      </c>
      <c r="B62" s="21" t="s">
        <v>129</v>
      </c>
      <c r="C62" s="21" t="s">
        <v>228</v>
      </c>
      <c r="D62" s="21" t="s">
        <v>222</v>
      </c>
      <c r="E62" s="21">
        <v>320.0</v>
      </c>
      <c r="F62" s="21">
        <v>340.0</v>
      </c>
      <c r="G62" s="30">
        <f t="shared" si="1"/>
        <v>330</v>
      </c>
      <c r="H62" s="30">
        <f t="shared" si="2"/>
        <v>20</v>
      </c>
      <c r="I62" s="31">
        <f t="shared" si="3"/>
        <v>0.06060606061</v>
      </c>
    </row>
    <row r="63" ht="22.5" customHeight="1">
      <c r="A63" s="35">
        <v>46043.0</v>
      </c>
      <c r="B63" s="21" t="s">
        <v>120</v>
      </c>
      <c r="C63" s="21" t="s">
        <v>229</v>
      </c>
      <c r="D63" s="21" t="s">
        <v>222</v>
      </c>
      <c r="E63" s="21">
        <v>225.0</v>
      </c>
      <c r="F63" s="21">
        <v>330.0</v>
      </c>
      <c r="G63" s="30">
        <f t="shared" si="1"/>
        <v>277.5</v>
      </c>
      <c r="H63" s="30">
        <f t="shared" si="2"/>
        <v>105</v>
      </c>
      <c r="I63" s="31">
        <f t="shared" si="3"/>
        <v>0.3783783784</v>
      </c>
    </row>
    <row r="64" ht="22.5" customHeight="1">
      <c r="A64" s="35">
        <v>46043.0</v>
      </c>
      <c r="B64" s="21" t="s">
        <v>129</v>
      </c>
      <c r="C64" s="21" t="s">
        <v>229</v>
      </c>
      <c r="D64" s="21" t="s">
        <v>222</v>
      </c>
      <c r="E64" s="21">
        <v>220.0</v>
      </c>
      <c r="F64" s="21">
        <v>260.0</v>
      </c>
      <c r="G64" s="30">
        <f t="shared" si="1"/>
        <v>240</v>
      </c>
      <c r="H64" s="30">
        <f t="shared" si="2"/>
        <v>40</v>
      </c>
      <c r="I64" s="31">
        <f t="shared" si="3"/>
        <v>0.1666666667</v>
      </c>
    </row>
    <row r="65" ht="22.5" customHeight="1">
      <c r="A65" s="35">
        <v>46050.0</v>
      </c>
      <c r="B65" s="21" t="s">
        <v>136</v>
      </c>
      <c r="C65" s="21"/>
      <c r="D65" s="21" t="s">
        <v>210</v>
      </c>
      <c r="E65" s="21">
        <v>75.0</v>
      </c>
      <c r="F65" s="21">
        <v>128.0</v>
      </c>
      <c r="G65" s="30">
        <f t="shared" si="1"/>
        <v>101.5</v>
      </c>
      <c r="H65" s="30">
        <f t="shared" si="2"/>
        <v>53</v>
      </c>
      <c r="I65" s="31">
        <f t="shared" si="3"/>
        <v>0.5221674877</v>
      </c>
    </row>
    <row r="66" ht="22.5" customHeight="1">
      <c r="A66" s="35">
        <v>46050.0</v>
      </c>
      <c r="B66" s="21" t="s">
        <v>136</v>
      </c>
      <c r="C66" s="21"/>
      <c r="D66" s="21" t="s">
        <v>211</v>
      </c>
      <c r="E66" s="21">
        <v>130.0</v>
      </c>
      <c r="F66" s="21">
        <v>143.0</v>
      </c>
      <c r="G66" s="30">
        <f t="shared" si="1"/>
        <v>136.5</v>
      </c>
      <c r="H66" s="30">
        <f t="shared" si="2"/>
        <v>13</v>
      </c>
      <c r="I66" s="31">
        <f t="shared" si="3"/>
        <v>0.09523809524</v>
      </c>
    </row>
    <row r="67" ht="22.5" customHeight="1">
      <c r="A67" s="35">
        <v>46050.0</v>
      </c>
      <c r="B67" s="21" t="s">
        <v>136</v>
      </c>
      <c r="C67" s="21"/>
      <c r="D67" s="21" t="s">
        <v>212</v>
      </c>
      <c r="E67" s="21">
        <v>144.0</v>
      </c>
      <c r="F67" s="21">
        <v>170.0</v>
      </c>
      <c r="G67" s="30">
        <f t="shared" si="1"/>
        <v>157</v>
      </c>
      <c r="H67" s="30">
        <f t="shared" si="2"/>
        <v>26</v>
      </c>
      <c r="I67" s="31">
        <f t="shared" si="3"/>
        <v>0.1656050955</v>
      </c>
    </row>
    <row r="68" ht="22.5" customHeight="1">
      <c r="A68" s="35">
        <v>46050.0</v>
      </c>
      <c r="B68" s="21" t="s">
        <v>139</v>
      </c>
      <c r="C68" s="21"/>
      <c r="D68" s="21" t="s">
        <v>270</v>
      </c>
      <c r="E68" s="21">
        <v>171.0</v>
      </c>
      <c r="F68" s="21">
        <v>195.0</v>
      </c>
      <c r="G68" s="30">
        <f t="shared" si="1"/>
        <v>183</v>
      </c>
      <c r="H68" s="30">
        <f t="shared" si="2"/>
        <v>24</v>
      </c>
      <c r="I68" s="31">
        <f t="shared" si="3"/>
        <v>0.131147541</v>
      </c>
    </row>
    <row r="69" ht="22.5" customHeight="1">
      <c r="A69" s="35">
        <v>46050.0</v>
      </c>
      <c r="B69" s="21" t="s">
        <v>139</v>
      </c>
      <c r="C69" s="21"/>
      <c r="D69" s="21" t="s">
        <v>271</v>
      </c>
      <c r="E69" s="21">
        <v>148.0</v>
      </c>
      <c r="F69" s="21">
        <v>167.0</v>
      </c>
      <c r="G69" s="30">
        <f t="shared" si="1"/>
        <v>157.5</v>
      </c>
      <c r="H69" s="30">
        <f t="shared" si="2"/>
        <v>19</v>
      </c>
      <c r="I69" s="31">
        <f t="shared" si="3"/>
        <v>0.1206349206</v>
      </c>
    </row>
    <row r="70" ht="22.5" customHeight="1">
      <c r="A70" s="35">
        <v>46050.0</v>
      </c>
      <c r="B70" s="21" t="s">
        <v>133</v>
      </c>
      <c r="C70" s="21"/>
      <c r="D70" s="21" t="s">
        <v>245</v>
      </c>
      <c r="E70" s="21">
        <v>3000.0</v>
      </c>
      <c r="F70" s="21">
        <v>4100.0</v>
      </c>
      <c r="G70" s="30">
        <f t="shared" si="1"/>
        <v>3550</v>
      </c>
      <c r="H70" s="30">
        <f t="shared" si="2"/>
        <v>1100</v>
      </c>
      <c r="I70" s="31">
        <f t="shared" si="3"/>
        <v>0.3098591549</v>
      </c>
    </row>
    <row r="71" ht="22.5" customHeight="1">
      <c r="A71" s="35">
        <v>46050.0</v>
      </c>
      <c r="B71" s="21" t="s">
        <v>133</v>
      </c>
      <c r="C71" s="21"/>
      <c r="D71" s="21" t="s">
        <v>149</v>
      </c>
      <c r="E71" s="21">
        <v>1850.0</v>
      </c>
      <c r="F71" s="21">
        <v>3000.0</v>
      </c>
      <c r="G71" s="30">
        <f t="shared" si="1"/>
        <v>2425</v>
      </c>
      <c r="H71" s="30">
        <f t="shared" si="2"/>
        <v>1150</v>
      </c>
      <c r="I71" s="31">
        <f t="shared" si="3"/>
        <v>0.4742268041</v>
      </c>
    </row>
    <row r="72" ht="22.5" customHeight="1">
      <c r="A72" s="35">
        <v>46050.0</v>
      </c>
      <c r="B72" s="21" t="s">
        <v>120</v>
      </c>
      <c r="C72" s="21" t="s">
        <v>258</v>
      </c>
      <c r="D72" s="21" t="s">
        <v>222</v>
      </c>
      <c r="E72" s="21">
        <v>500.0</v>
      </c>
      <c r="F72" s="21">
        <v>720.0</v>
      </c>
      <c r="G72" s="30">
        <f t="shared" si="1"/>
        <v>610</v>
      </c>
      <c r="H72" s="30">
        <f t="shared" si="2"/>
        <v>220</v>
      </c>
      <c r="I72" s="31">
        <f t="shared" si="3"/>
        <v>0.3606557377</v>
      </c>
    </row>
    <row r="73" ht="22.5" customHeight="1">
      <c r="A73" s="35">
        <v>46050.0</v>
      </c>
      <c r="B73" s="21" t="s">
        <v>129</v>
      </c>
      <c r="C73" s="21" t="s">
        <v>258</v>
      </c>
      <c r="D73" s="21" t="s">
        <v>222</v>
      </c>
      <c r="E73" s="21">
        <v>480.0</v>
      </c>
      <c r="F73" s="21">
        <v>700.0</v>
      </c>
      <c r="G73" s="30">
        <f t="shared" si="1"/>
        <v>590</v>
      </c>
      <c r="H73" s="30">
        <f t="shared" si="2"/>
        <v>220</v>
      </c>
      <c r="I73" s="31">
        <f t="shared" si="3"/>
        <v>0.3728813559</v>
      </c>
    </row>
    <row r="74" ht="22.5" customHeight="1">
      <c r="A74" s="35">
        <v>46050.0</v>
      </c>
      <c r="B74" s="21" t="s">
        <v>120</v>
      </c>
      <c r="C74" s="21" t="s">
        <v>224</v>
      </c>
      <c r="D74" s="21" t="s">
        <v>222</v>
      </c>
      <c r="E74" s="21">
        <v>425.0</v>
      </c>
      <c r="F74" s="21">
        <v>605.0</v>
      </c>
      <c r="G74" s="30">
        <f t="shared" si="1"/>
        <v>515</v>
      </c>
      <c r="H74" s="30">
        <f t="shared" si="2"/>
        <v>180</v>
      </c>
      <c r="I74" s="31">
        <f t="shared" si="3"/>
        <v>0.3495145631</v>
      </c>
    </row>
    <row r="75" ht="22.5" customHeight="1">
      <c r="A75" s="35">
        <v>46050.0</v>
      </c>
      <c r="B75" s="21" t="s">
        <v>129</v>
      </c>
      <c r="C75" s="21" t="s">
        <v>224</v>
      </c>
      <c r="D75" s="21" t="s">
        <v>222</v>
      </c>
      <c r="E75" s="21">
        <v>415.0</v>
      </c>
      <c r="F75" s="21">
        <v>475.0</v>
      </c>
      <c r="G75" s="30">
        <f t="shared" si="1"/>
        <v>445</v>
      </c>
      <c r="H75" s="30">
        <f t="shared" si="2"/>
        <v>60</v>
      </c>
      <c r="I75" s="31">
        <f t="shared" si="3"/>
        <v>0.1348314607</v>
      </c>
    </row>
    <row r="76" ht="22.5" customHeight="1">
      <c r="A76" s="35">
        <v>46050.0</v>
      </c>
      <c r="B76" s="21" t="s">
        <v>120</v>
      </c>
      <c r="C76" s="21" t="s">
        <v>225</v>
      </c>
      <c r="D76" s="21" t="s">
        <v>222</v>
      </c>
      <c r="E76" s="21">
        <v>385.0</v>
      </c>
      <c r="F76" s="21">
        <v>465.0</v>
      </c>
      <c r="G76" s="30">
        <f t="shared" si="1"/>
        <v>425</v>
      </c>
      <c r="H76" s="30">
        <f t="shared" si="2"/>
        <v>80</v>
      </c>
      <c r="I76" s="31">
        <f t="shared" si="3"/>
        <v>0.1882352941</v>
      </c>
    </row>
    <row r="77" ht="22.5" customHeight="1">
      <c r="A77" s="35">
        <v>46050.0</v>
      </c>
      <c r="B77" s="21" t="s">
        <v>129</v>
      </c>
      <c r="C77" s="21" t="s">
        <v>225</v>
      </c>
      <c r="D77" s="21" t="s">
        <v>222</v>
      </c>
      <c r="E77" s="21">
        <v>400.0</v>
      </c>
      <c r="F77" s="21">
        <v>447.0</v>
      </c>
      <c r="G77" s="30">
        <f t="shared" si="1"/>
        <v>423.5</v>
      </c>
      <c r="H77" s="30">
        <f t="shared" si="2"/>
        <v>47</v>
      </c>
      <c r="I77" s="31">
        <f t="shared" si="3"/>
        <v>0.1109799292</v>
      </c>
    </row>
    <row r="78" ht="22.5" customHeight="1">
      <c r="A78" s="35">
        <v>46050.0</v>
      </c>
      <c r="B78" s="21" t="s">
        <v>120</v>
      </c>
      <c r="C78" s="21" t="s">
        <v>226</v>
      </c>
      <c r="D78" s="21" t="s">
        <v>222</v>
      </c>
      <c r="E78" s="21">
        <v>360.0</v>
      </c>
      <c r="F78" s="21">
        <v>430.0</v>
      </c>
      <c r="G78" s="30">
        <f t="shared" si="1"/>
        <v>395</v>
      </c>
      <c r="H78" s="30">
        <f t="shared" si="2"/>
        <v>70</v>
      </c>
      <c r="I78" s="31">
        <f t="shared" si="3"/>
        <v>0.1772151899</v>
      </c>
    </row>
    <row r="79" ht="22.5" customHeight="1">
      <c r="A79" s="35">
        <v>46050.0</v>
      </c>
      <c r="B79" s="21" t="s">
        <v>129</v>
      </c>
      <c r="C79" s="21" t="s">
        <v>226</v>
      </c>
      <c r="D79" s="21" t="s">
        <v>222</v>
      </c>
      <c r="E79" s="21">
        <v>355.0</v>
      </c>
      <c r="F79" s="21">
        <v>392.0</v>
      </c>
      <c r="G79" s="30">
        <f t="shared" si="1"/>
        <v>373.5</v>
      </c>
      <c r="H79" s="30">
        <f t="shared" si="2"/>
        <v>37</v>
      </c>
      <c r="I79" s="31">
        <f t="shared" si="3"/>
        <v>0.09906291834</v>
      </c>
    </row>
    <row r="80" ht="22.5" customHeight="1">
      <c r="A80" s="35">
        <v>46050.0</v>
      </c>
      <c r="B80" s="21" t="s">
        <v>120</v>
      </c>
      <c r="C80" s="21" t="s">
        <v>227</v>
      </c>
      <c r="D80" s="21" t="s">
        <v>222</v>
      </c>
      <c r="E80" s="21">
        <v>345.0</v>
      </c>
      <c r="F80" s="21">
        <v>402.0</v>
      </c>
      <c r="G80" s="30">
        <f t="shared" si="1"/>
        <v>373.5</v>
      </c>
      <c r="H80" s="30">
        <f t="shared" si="2"/>
        <v>57</v>
      </c>
      <c r="I80" s="31">
        <f t="shared" si="3"/>
        <v>0.1526104418</v>
      </c>
    </row>
    <row r="81" ht="22.5" customHeight="1">
      <c r="A81" s="35">
        <v>46050.0</v>
      </c>
      <c r="B81" s="21" t="s">
        <v>129</v>
      </c>
      <c r="C81" s="21" t="s">
        <v>227</v>
      </c>
      <c r="D81" s="21" t="s">
        <v>222</v>
      </c>
      <c r="E81" s="21">
        <v>340.0</v>
      </c>
      <c r="F81" s="21">
        <v>354.0</v>
      </c>
      <c r="G81" s="30">
        <f t="shared" si="1"/>
        <v>347</v>
      </c>
      <c r="H81" s="30">
        <f t="shared" si="2"/>
        <v>14</v>
      </c>
      <c r="I81" s="31">
        <f t="shared" si="3"/>
        <v>0.04034582133</v>
      </c>
    </row>
    <row r="82" ht="22.5" customHeight="1">
      <c r="A82" s="35">
        <v>46050.0</v>
      </c>
      <c r="B82" s="21" t="s">
        <v>120</v>
      </c>
      <c r="C82" s="21" t="s">
        <v>228</v>
      </c>
      <c r="D82" s="21" t="s">
        <v>222</v>
      </c>
      <c r="E82" s="21">
        <v>325.0</v>
      </c>
      <c r="F82" s="21">
        <v>370.0</v>
      </c>
      <c r="G82" s="30">
        <f t="shared" si="1"/>
        <v>347.5</v>
      </c>
      <c r="H82" s="30">
        <f t="shared" si="2"/>
        <v>45</v>
      </c>
      <c r="I82" s="31">
        <f t="shared" si="3"/>
        <v>0.1294964029</v>
      </c>
    </row>
    <row r="83" ht="22.5" customHeight="1">
      <c r="A83" s="35">
        <v>46050.0</v>
      </c>
      <c r="B83" s="21" t="s">
        <v>129</v>
      </c>
      <c r="C83" s="21" t="s">
        <v>228</v>
      </c>
      <c r="D83" s="21" t="s">
        <v>222</v>
      </c>
      <c r="E83" s="21">
        <v>320.0</v>
      </c>
      <c r="F83" s="21">
        <v>317.0</v>
      </c>
      <c r="G83" s="30">
        <f t="shared" si="1"/>
        <v>318.5</v>
      </c>
      <c r="H83" s="30">
        <f t="shared" si="2"/>
        <v>-3</v>
      </c>
      <c r="I83" s="31">
        <f t="shared" si="3"/>
        <v>-0.009419152276</v>
      </c>
    </row>
    <row r="84" ht="22.5" customHeight="1">
      <c r="A84" s="35">
        <v>46050.0</v>
      </c>
      <c r="B84" s="21" t="s">
        <v>120</v>
      </c>
      <c r="C84" s="21" t="s">
        <v>229</v>
      </c>
      <c r="D84" s="21" t="s">
        <v>222</v>
      </c>
      <c r="E84" s="21">
        <v>225.0</v>
      </c>
      <c r="F84" s="21">
        <v>310.0</v>
      </c>
      <c r="G84" s="30">
        <f t="shared" si="1"/>
        <v>267.5</v>
      </c>
      <c r="H84" s="30">
        <f t="shared" si="2"/>
        <v>85</v>
      </c>
      <c r="I84" s="31">
        <f t="shared" si="3"/>
        <v>0.3177570093</v>
      </c>
    </row>
    <row r="85" ht="22.5" customHeight="1">
      <c r="A85" s="35">
        <v>46050.0</v>
      </c>
      <c r="B85" s="21" t="s">
        <v>129</v>
      </c>
      <c r="C85" s="21" t="s">
        <v>229</v>
      </c>
      <c r="D85" s="21" t="s">
        <v>222</v>
      </c>
      <c r="E85" s="21">
        <v>220.0</v>
      </c>
      <c r="F85" s="21">
        <v>300.0</v>
      </c>
      <c r="G85" s="30">
        <f t="shared" si="1"/>
        <v>260</v>
      </c>
      <c r="H85" s="30">
        <f t="shared" si="2"/>
        <v>80</v>
      </c>
      <c r="I85" s="31">
        <f t="shared" si="3"/>
        <v>0.3076923077</v>
      </c>
    </row>
    <row r="86" ht="22.5" customHeight="1">
      <c r="A86" s="35">
        <v>46057.0</v>
      </c>
      <c r="B86" s="21" t="s">
        <v>136</v>
      </c>
      <c r="C86" s="21"/>
      <c r="D86" s="21" t="s">
        <v>210</v>
      </c>
      <c r="E86" s="21">
        <v>95.0</v>
      </c>
      <c r="F86" s="21">
        <v>130.0</v>
      </c>
      <c r="G86" s="30">
        <f t="shared" si="1"/>
        <v>112.5</v>
      </c>
      <c r="H86" s="30">
        <f t="shared" si="2"/>
        <v>35</v>
      </c>
      <c r="I86" s="31">
        <f t="shared" si="3"/>
        <v>0.3111111111</v>
      </c>
    </row>
    <row r="87" ht="22.5" customHeight="1">
      <c r="A87" s="35">
        <v>46057.0</v>
      </c>
      <c r="B87" s="21" t="s">
        <v>136</v>
      </c>
      <c r="C87" s="21"/>
      <c r="D87" s="21" t="s">
        <v>211</v>
      </c>
      <c r="E87" s="21">
        <v>132.0</v>
      </c>
      <c r="F87" s="21">
        <v>147.0</v>
      </c>
      <c r="G87" s="30">
        <f t="shared" si="1"/>
        <v>139.5</v>
      </c>
      <c r="H87" s="30">
        <f t="shared" si="2"/>
        <v>15</v>
      </c>
      <c r="I87" s="31">
        <f t="shared" si="3"/>
        <v>0.1075268817</v>
      </c>
    </row>
    <row r="88" ht="22.5" customHeight="1">
      <c r="A88" s="35">
        <v>46057.0</v>
      </c>
      <c r="B88" s="21" t="s">
        <v>136</v>
      </c>
      <c r="C88" s="21"/>
      <c r="D88" s="21" t="s">
        <v>212</v>
      </c>
      <c r="E88" s="21">
        <v>150.0</v>
      </c>
      <c r="F88" s="21">
        <v>181.0</v>
      </c>
      <c r="G88" s="30">
        <f t="shared" si="1"/>
        <v>165.5</v>
      </c>
      <c r="H88" s="30">
        <f t="shared" si="2"/>
        <v>31</v>
      </c>
      <c r="I88" s="31">
        <f t="shared" si="3"/>
        <v>0.1873111782</v>
      </c>
    </row>
    <row r="89" ht="22.5" customHeight="1">
      <c r="A89" s="35">
        <v>46057.0</v>
      </c>
      <c r="B89" s="21" t="s">
        <v>139</v>
      </c>
      <c r="C89" s="21"/>
      <c r="D89" s="21" t="s">
        <v>270</v>
      </c>
      <c r="E89" s="21">
        <v>171.0</v>
      </c>
      <c r="F89" s="21">
        <v>192.0</v>
      </c>
      <c r="G89" s="30">
        <f t="shared" si="1"/>
        <v>181.5</v>
      </c>
      <c r="H89" s="30">
        <f t="shared" si="2"/>
        <v>21</v>
      </c>
      <c r="I89" s="31">
        <f t="shared" si="3"/>
        <v>0.1157024793</v>
      </c>
    </row>
    <row r="90" ht="22.5" customHeight="1">
      <c r="A90" s="35">
        <v>46057.0</v>
      </c>
      <c r="B90" s="21" t="s">
        <v>139</v>
      </c>
      <c r="C90" s="21"/>
      <c r="D90" s="21" t="s">
        <v>271</v>
      </c>
      <c r="E90" s="21">
        <v>160.0</v>
      </c>
      <c r="F90" s="21">
        <v>167.0</v>
      </c>
      <c r="G90" s="30">
        <f t="shared" si="1"/>
        <v>163.5</v>
      </c>
      <c r="H90" s="30">
        <f t="shared" si="2"/>
        <v>7</v>
      </c>
      <c r="I90" s="31">
        <f t="shared" si="3"/>
        <v>0.04281345566</v>
      </c>
    </row>
    <row r="91" ht="22.5" customHeight="1">
      <c r="A91" s="35">
        <v>46057.0</v>
      </c>
      <c r="B91" s="21" t="s">
        <v>133</v>
      </c>
      <c r="C91" s="21"/>
      <c r="D91" s="21" t="s">
        <v>245</v>
      </c>
      <c r="E91" s="21">
        <v>3000.0</v>
      </c>
      <c r="F91" s="21">
        <v>3000.0</v>
      </c>
      <c r="G91" s="30">
        <f t="shared" si="1"/>
        <v>3000</v>
      </c>
      <c r="H91" s="30">
        <f t="shared" si="2"/>
        <v>0</v>
      </c>
      <c r="I91" s="31">
        <f t="shared" si="3"/>
        <v>0</v>
      </c>
    </row>
    <row r="92" ht="22.5" customHeight="1">
      <c r="A92" s="35">
        <v>46057.0</v>
      </c>
      <c r="B92" s="21" t="s">
        <v>133</v>
      </c>
      <c r="C92" s="21"/>
      <c r="D92" s="21" t="s">
        <v>149</v>
      </c>
      <c r="E92" s="21">
        <v>1750.0</v>
      </c>
      <c r="F92" s="21">
        <v>2800.0</v>
      </c>
      <c r="G92" s="30">
        <f t="shared" si="1"/>
        <v>2275</v>
      </c>
      <c r="H92" s="30">
        <f t="shared" si="2"/>
        <v>1050</v>
      </c>
      <c r="I92" s="31">
        <f t="shared" si="3"/>
        <v>0.4615384615</v>
      </c>
    </row>
    <row r="93" ht="22.5" customHeight="1">
      <c r="A93" s="35">
        <v>46057.0</v>
      </c>
      <c r="B93" s="21" t="s">
        <v>120</v>
      </c>
      <c r="C93" s="21" t="s">
        <v>258</v>
      </c>
      <c r="D93" s="21" t="s">
        <v>222</v>
      </c>
      <c r="E93" s="21">
        <v>550.0</v>
      </c>
      <c r="F93" s="21">
        <v>800.0</v>
      </c>
      <c r="G93" s="30">
        <f t="shared" si="1"/>
        <v>675</v>
      </c>
      <c r="H93" s="30">
        <f t="shared" si="2"/>
        <v>250</v>
      </c>
      <c r="I93" s="31">
        <f t="shared" si="3"/>
        <v>0.3703703704</v>
      </c>
    </row>
    <row r="94" ht="22.5" customHeight="1">
      <c r="A94" s="35">
        <v>46057.0</v>
      </c>
      <c r="B94" s="21" t="s">
        <v>129</v>
      </c>
      <c r="C94" s="21" t="s">
        <v>258</v>
      </c>
      <c r="D94" s="21" t="s">
        <v>222</v>
      </c>
      <c r="E94" s="21">
        <v>525.0</v>
      </c>
      <c r="F94" s="21">
        <v>705.0</v>
      </c>
      <c r="G94" s="30">
        <f t="shared" si="1"/>
        <v>615</v>
      </c>
      <c r="H94" s="30">
        <f t="shared" si="2"/>
        <v>180</v>
      </c>
      <c r="I94" s="31">
        <f t="shared" si="3"/>
        <v>0.2926829268</v>
      </c>
    </row>
    <row r="95" ht="22.5" customHeight="1">
      <c r="A95" s="35">
        <v>46057.0</v>
      </c>
      <c r="B95" s="21" t="s">
        <v>120</v>
      </c>
      <c r="C95" s="21" t="s">
        <v>224</v>
      </c>
      <c r="D95" s="21" t="s">
        <v>222</v>
      </c>
      <c r="E95" s="21">
        <v>475.0</v>
      </c>
      <c r="F95" s="21">
        <v>600.0</v>
      </c>
      <c r="G95" s="30">
        <f t="shared" si="1"/>
        <v>537.5</v>
      </c>
      <c r="H95" s="30">
        <f t="shared" si="2"/>
        <v>125</v>
      </c>
      <c r="I95" s="31">
        <f t="shared" si="3"/>
        <v>0.2325581395</v>
      </c>
    </row>
    <row r="96" ht="22.5" customHeight="1">
      <c r="A96" s="35">
        <v>46057.0</v>
      </c>
      <c r="B96" s="21" t="s">
        <v>129</v>
      </c>
      <c r="C96" s="21" t="s">
        <v>224</v>
      </c>
      <c r="D96" s="21" t="s">
        <v>222</v>
      </c>
      <c r="E96" s="21">
        <v>435.0</v>
      </c>
      <c r="F96" s="21">
        <v>570.0</v>
      </c>
      <c r="G96" s="30">
        <f t="shared" si="1"/>
        <v>502.5</v>
      </c>
      <c r="H96" s="30">
        <f t="shared" si="2"/>
        <v>135</v>
      </c>
      <c r="I96" s="31">
        <f t="shared" si="3"/>
        <v>0.2686567164</v>
      </c>
    </row>
    <row r="97" ht="22.5" customHeight="1">
      <c r="A97" s="35">
        <v>46057.0</v>
      </c>
      <c r="B97" s="21" t="s">
        <v>120</v>
      </c>
      <c r="C97" s="21" t="s">
        <v>225</v>
      </c>
      <c r="D97" s="21" t="s">
        <v>222</v>
      </c>
      <c r="E97" s="21">
        <v>410.0</v>
      </c>
      <c r="F97" s="21">
        <v>565.0</v>
      </c>
      <c r="G97" s="30">
        <f t="shared" si="1"/>
        <v>487.5</v>
      </c>
      <c r="H97" s="30">
        <f t="shared" si="2"/>
        <v>155</v>
      </c>
      <c r="I97" s="31">
        <f t="shared" si="3"/>
        <v>0.3179487179</v>
      </c>
    </row>
    <row r="98" ht="22.5" customHeight="1">
      <c r="A98" s="35">
        <v>46057.0</v>
      </c>
      <c r="B98" s="21" t="s">
        <v>129</v>
      </c>
      <c r="C98" s="21" t="s">
        <v>225</v>
      </c>
      <c r="D98" s="21" t="s">
        <v>222</v>
      </c>
      <c r="E98" s="21">
        <v>400.0</v>
      </c>
      <c r="F98" s="21">
        <v>490.0</v>
      </c>
      <c r="G98" s="30">
        <f t="shared" si="1"/>
        <v>445</v>
      </c>
      <c r="H98" s="30">
        <f t="shared" si="2"/>
        <v>90</v>
      </c>
      <c r="I98" s="31">
        <f t="shared" si="3"/>
        <v>0.202247191</v>
      </c>
    </row>
    <row r="99" ht="22.5" customHeight="1">
      <c r="A99" s="35">
        <v>46057.0</v>
      </c>
      <c r="B99" s="21" t="s">
        <v>120</v>
      </c>
      <c r="C99" s="21" t="s">
        <v>226</v>
      </c>
      <c r="D99" s="21" t="s">
        <v>222</v>
      </c>
      <c r="E99" s="21">
        <v>395.0</v>
      </c>
      <c r="F99" s="21">
        <v>505.0</v>
      </c>
      <c r="G99" s="30">
        <f t="shared" si="1"/>
        <v>450</v>
      </c>
      <c r="H99" s="30">
        <f t="shared" si="2"/>
        <v>110</v>
      </c>
      <c r="I99" s="31">
        <f t="shared" si="3"/>
        <v>0.2444444444</v>
      </c>
    </row>
    <row r="100" ht="22.5" customHeight="1">
      <c r="A100" s="35">
        <v>46057.0</v>
      </c>
      <c r="B100" s="21" t="s">
        <v>129</v>
      </c>
      <c r="C100" s="21" t="s">
        <v>226</v>
      </c>
      <c r="D100" s="21" t="s">
        <v>222</v>
      </c>
      <c r="E100" s="21">
        <v>375.0</v>
      </c>
      <c r="F100" s="21">
        <v>500.0</v>
      </c>
      <c r="G100" s="30">
        <f t="shared" si="1"/>
        <v>437.5</v>
      </c>
      <c r="H100" s="30">
        <f t="shared" si="2"/>
        <v>125</v>
      </c>
      <c r="I100" s="31">
        <f t="shared" si="3"/>
        <v>0.2857142857</v>
      </c>
    </row>
    <row r="101" ht="22.5" customHeight="1">
      <c r="A101" s="35">
        <v>46057.0</v>
      </c>
      <c r="B101" s="21" t="s">
        <v>120</v>
      </c>
      <c r="C101" s="21" t="s">
        <v>227</v>
      </c>
      <c r="D101" s="21" t="s">
        <v>222</v>
      </c>
      <c r="E101" s="21">
        <v>350.0</v>
      </c>
      <c r="F101" s="21">
        <v>447.0</v>
      </c>
      <c r="G101" s="30">
        <f t="shared" si="1"/>
        <v>398.5</v>
      </c>
      <c r="H101" s="30">
        <f t="shared" si="2"/>
        <v>97</v>
      </c>
      <c r="I101" s="31">
        <f t="shared" si="3"/>
        <v>0.243412798</v>
      </c>
    </row>
    <row r="102" ht="22.5" customHeight="1">
      <c r="A102" s="35">
        <v>46057.0</v>
      </c>
      <c r="B102" s="21" t="s">
        <v>129</v>
      </c>
      <c r="C102" s="21" t="s">
        <v>227</v>
      </c>
      <c r="D102" s="21" t="s">
        <v>222</v>
      </c>
      <c r="E102" s="21">
        <v>340.0</v>
      </c>
      <c r="F102" s="21">
        <v>400.0</v>
      </c>
      <c r="G102" s="30">
        <f t="shared" si="1"/>
        <v>370</v>
      </c>
      <c r="H102" s="30">
        <f t="shared" si="2"/>
        <v>60</v>
      </c>
      <c r="I102" s="31">
        <f t="shared" si="3"/>
        <v>0.1621621622</v>
      </c>
    </row>
    <row r="103" ht="22.5" customHeight="1">
      <c r="A103" s="35">
        <v>46057.0</v>
      </c>
      <c r="B103" s="21" t="s">
        <v>120</v>
      </c>
      <c r="C103" s="21" t="s">
        <v>228</v>
      </c>
      <c r="D103" s="21" t="s">
        <v>222</v>
      </c>
      <c r="E103" s="21">
        <v>325.0</v>
      </c>
      <c r="F103" s="21">
        <v>377.0</v>
      </c>
      <c r="G103" s="30">
        <f t="shared" si="1"/>
        <v>351</v>
      </c>
      <c r="H103" s="30">
        <f t="shared" si="2"/>
        <v>52</v>
      </c>
      <c r="I103" s="31">
        <f t="shared" si="3"/>
        <v>0.1481481481</v>
      </c>
    </row>
    <row r="104" ht="22.5" customHeight="1">
      <c r="A104" s="35">
        <v>46057.0</v>
      </c>
      <c r="B104" s="21" t="s">
        <v>129</v>
      </c>
      <c r="C104" s="21" t="s">
        <v>228</v>
      </c>
      <c r="D104" s="21" t="s">
        <v>222</v>
      </c>
      <c r="E104" s="21">
        <v>320.0</v>
      </c>
      <c r="F104" s="21">
        <v>338.0</v>
      </c>
      <c r="G104" s="30">
        <f t="shared" si="1"/>
        <v>329</v>
      </c>
      <c r="H104" s="30">
        <f t="shared" si="2"/>
        <v>18</v>
      </c>
      <c r="I104" s="31">
        <f t="shared" si="3"/>
        <v>0.0547112462</v>
      </c>
    </row>
    <row r="105" ht="22.5" customHeight="1">
      <c r="A105" s="35">
        <v>46057.0</v>
      </c>
      <c r="B105" s="21" t="s">
        <v>120</v>
      </c>
      <c r="C105" s="21" t="s">
        <v>229</v>
      </c>
      <c r="D105" s="21" t="s">
        <v>222</v>
      </c>
      <c r="E105" s="21">
        <v>260.0</v>
      </c>
      <c r="F105" s="21">
        <v>328.0</v>
      </c>
      <c r="G105" s="30">
        <f t="shared" si="1"/>
        <v>294</v>
      </c>
      <c r="H105" s="30">
        <f t="shared" si="2"/>
        <v>68</v>
      </c>
      <c r="I105" s="31">
        <f t="shared" si="3"/>
        <v>0.231292517</v>
      </c>
    </row>
    <row r="106" ht="22.5" customHeight="1">
      <c r="A106" s="35">
        <v>46057.0</v>
      </c>
      <c r="B106" s="21" t="s">
        <v>129</v>
      </c>
      <c r="C106" s="21" t="s">
        <v>229</v>
      </c>
      <c r="D106" s="21" t="s">
        <v>222</v>
      </c>
      <c r="E106" s="21">
        <v>250.0</v>
      </c>
      <c r="F106" s="21">
        <v>310.0</v>
      </c>
      <c r="G106" s="30">
        <f t="shared" si="1"/>
        <v>280</v>
      </c>
      <c r="H106" s="30">
        <f t="shared" si="2"/>
        <v>60</v>
      </c>
      <c r="I106" s="31">
        <f t="shared" si="3"/>
        <v>0.2142857143</v>
      </c>
    </row>
    <row r="107" ht="22.5" customHeight="1">
      <c r="A107" s="35">
        <v>46064.0</v>
      </c>
      <c r="B107" s="21" t="s">
        <v>136</v>
      </c>
      <c r="C107" s="21"/>
      <c r="D107" s="21" t="s">
        <v>210</v>
      </c>
      <c r="E107" s="21">
        <v>90.0</v>
      </c>
      <c r="F107" s="21">
        <v>132.0</v>
      </c>
      <c r="G107" s="30">
        <f t="shared" si="1"/>
        <v>111</v>
      </c>
      <c r="H107" s="30">
        <f t="shared" si="2"/>
        <v>42</v>
      </c>
      <c r="I107" s="31">
        <f t="shared" si="3"/>
        <v>0.3783783784</v>
      </c>
    </row>
    <row r="108" ht="22.5" customHeight="1">
      <c r="A108" s="35">
        <v>46064.0</v>
      </c>
      <c r="B108" s="21" t="s">
        <v>136</v>
      </c>
      <c r="C108" s="21"/>
      <c r="D108" s="21" t="s">
        <v>211</v>
      </c>
      <c r="E108" s="21">
        <v>134.0</v>
      </c>
      <c r="F108" s="21">
        <v>149.0</v>
      </c>
      <c r="G108" s="30">
        <f t="shared" si="1"/>
        <v>141.5</v>
      </c>
      <c r="H108" s="30">
        <f t="shared" si="2"/>
        <v>15</v>
      </c>
      <c r="I108" s="31">
        <f t="shared" si="3"/>
        <v>0.1060070671</v>
      </c>
    </row>
    <row r="109" ht="22.5" customHeight="1">
      <c r="A109" s="35">
        <v>46064.0</v>
      </c>
      <c r="B109" s="21" t="s">
        <v>136</v>
      </c>
      <c r="C109" s="21"/>
      <c r="D109" s="21" t="s">
        <v>212</v>
      </c>
      <c r="E109" s="21">
        <v>151.0</v>
      </c>
      <c r="F109" s="21">
        <v>185.0</v>
      </c>
      <c r="G109" s="30">
        <f t="shared" si="1"/>
        <v>168</v>
      </c>
      <c r="H109" s="30">
        <f t="shared" si="2"/>
        <v>34</v>
      </c>
      <c r="I109" s="31">
        <f t="shared" si="3"/>
        <v>0.2023809524</v>
      </c>
    </row>
    <row r="110" ht="22.5" customHeight="1">
      <c r="A110" s="35">
        <v>46064.0</v>
      </c>
      <c r="B110" s="21" t="s">
        <v>139</v>
      </c>
      <c r="C110" s="21"/>
      <c r="D110" s="21" t="s">
        <v>270</v>
      </c>
      <c r="E110" s="21">
        <v>171.0</v>
      </c>
      <c r="F110" s="21">
        <v>190.0</v>
      </c>
      <c r="G110" s="30">
        <f t="shared" si="1"/>
        <v>180.5</v>
      </c>
      <c r="H110" s="30">
        <f t="shared" si="2"/>
        <v>19</v>
      </c>
      <c r="I110" s="31">
        <f t="shared" si="3"/>
        <v>0.1052631579</v>
      </c>
    </row>
    <row r="111" ht="22.5" customHeight="1">
      <c r="A111" s="35">
        <v>46064.0</v>
      </c>
      <c r="B111" s="21" t="s">
        <v>139</v>
      </c>
      <c r="C111" s="21"/>
      <c r="D111" s="21" t="s">
        <v>271</v>
      </c>
      <c r="E111" s="21">
        <v>160.0</v>
      </c>
      <c r="F111" s="21">
        <v>167.0</v>
      </c>
      <c r="G111" s="30">
        <f t="shared" si="1"/>
        <v>163.5</v>
      </c>
      <c r="H111" s="30">
        <f t="shared" si="2"/>
        <v>7</v>
      </c>
      <c r="I111" s="31">
        <f t="shared" si="3"/>
        <v>0.04281345566</v>
      </c>
    </row>
    <row r="112" ht="22.5" customHeight="1">
      <c r="A112" s="35">
        <v>46064.0</v>
      </c>
      <c r="B112" s="21" t="s">
        <v>133</v>
      </c>
      <c r="C112" s="21"/>
      <c r="D112" s="21" t="s">
        <v>245</v>
      </c>
      <c r="E112" s="21">
        <v>3000.0</v>
      </c>
      <c r="F112" s="21">
        <v>5200.0</v>
      </c>
      <c r="G112" s="30">
        <f t="shared" si="1"/>
        <v>4100</v>
      </c>
      <c r="H112" s="30">
        <f t="shared" si="2"/>
        <v>2200</v>
      </c>
      <c r="I112" s="31">
        <f t="shared" si="3"/>
        <v>0.5365853659</v>
      </c>
    </row>
    <row r="113" ht="22.5" customHeight="1">
      <c r="A113" s="35">
        <v>46064.0</v>
      </c>
      <c r="B113" s="21" t="s">
        <v>133</v>
      </c>
      <c r="C113" s="21"/>
      <c r="D113" s="21" t="s">
        <v>149</v>
      </c>
      <c r="E113" s="21">
        <v>1500.0</v>
      </c>
      <c r="F113" s="21">
        <v>4900.0</v>
      </c>
      <c r="G113" s="30">
        <f t="shared" si="1"/>
        <v>3200</v>
      </c>
      <c r="H113" s="30">
        <f t="shared" si="2"/>
        <v>3400</v>
      </c>
      <c r="I113" s="31">
        <f t="shared" si="3"/>
        <v>1.0625</v>
      </c>
    </row>
    <row r="114" ht="22.5" customHeight="1">
      <c r="A114" s="35">
        <v>46064.0</v>
      </c>
      <c r="B114" s="21" t="s">
        <v>120</v>
      </c>
      <c r="C114" s="21" t="s">
        <v>258</v>
      </c>
      <c r="D114" s="21" t="s">
        <v>222</v>
      </c>
      <c r="E114" s="21">
        <v>550.0</v>
      </c>
      <c r="F114" s="21">
        <v>800.0</v>
      </c>
      <c r="G114" s="30">
        <f t="shared" si="1"/>
        <v>675</v>
      </c>
      <c r="H114" s="30">
        <f t="shared" si="2"/>
        <v>250</v>
      </c>
      <c r="I114" s="31">
        <f t="shared" si="3"/>
        <v>0.3703703704</v>
      </c>
    </row>
    <row r="115" ht="22.5" customHeight="1">
      <c r="A115" s="35">
        <v>46064.0</v>
      </c>
      <c r="B115" s="21" t="s">
        <v>129</v>
      </c>
      <c r="C115" s="21" t="s">
        <v>258</v>
      </c>
      <c r="D115" s="21" t="s">
        <v>222</v>
      </c>
      <c r="E115" s="21">
        <v>525.0</v>
      </c>
      <c r="F115" s="21">
        <v>815.0</v>
      </c>
      <c r="G115" s="30">
        <f t="shared" si="1"/>
        <v>670</v>
      </c>
      <c r="H115" s="30">
        <f t="shared" si="2"/>
        <v>290</v>
      </c>
      <c r="I115" s="31">
        <f t="shared" si="3"/>
        <v>0.4328358209</v>
      </c>
    </row>
    <row r="116" ht="22.5" customHeight="1">
      <c r="A116" s="35">
        <v>46064.0</v>
      </c>
      <c r="B116" s="21" t="s">
        <v>120</v>
      </c>
      <c r="C116" s="21" t="s">
        <v>224</v>
      </c>
      <c r="D116" s="21" t="s">
        <v>222</v>
      </c>
      <c r="E116" s="21">
        <v>475.0</v>
      </c>
      <c r="F116" s="21">
        <v>605.0</v>
      </c>
      <c r="G116" s="30">
        <f t="shared" si="1"/>
        <v>540</v>
      </c>
      <c r="H116" s="30">
        <f t="shared" si="2"/>
        <v>130</v>
      </c>
      <c r="I116" s="31">
        <f t="shared" si="3"/>
        <v>0.2407407407</v>
      </c>
    </row>
    <row r="117" ht="22.5" customHeight="1">
      <c r="A117" s="35">
        <v>46064.0</v>
      </c>
      <c r="B117" s="21" t="s">
        <v>129</v>
      </c>
      <c r="C117" s="21" t="s">
        <v>224</v>
      </c>
      <c r="D117" s="21" t="s">
        <v>222</v>
      </c>
      <c r="E117" s="21">
        <v>435.0</v>
      </c>
      <c r="F117" s="21">
        <v>570.0</v>
      </c>
      <c r="G117" s="30">
        <f t="shared" si="1"/>
        <v>502.5</v>
      </c>
      <c r="H117" s="30">
        <f t="shared" si="2"/>
        <v>135</v>
      </c>
      <c r="I117" s="31">
        <f t="shared" si="3"/>
        <v>0.2686567164</v>
      </c>
    </row>
    <row r="118" ht="22.5" customHeight="1">
      <c r="A118" s="35">
        <v>46064.0</v>
      </c>
      <c r="B118" s="21" t="s">
        <v>120</v>
      </c>
      <c r="C118" s="21" t="s">
        <v>225</v>
      </c>
      <c r="D118" s="21" t="s">
        <v>222</v>
      </c>
      <c r="E118" s="21">
        <v>410.0</v>
      </c>
      <c r="F118" s="21">
        <v>535.0</v>
      </c>
      <c r="G118" s="30">
        <f t="shared" si="1"/>
        <v>472.5</v>
      </c>
      <c r="H118" s="30">
        <f t="shared" si="2"/>
        <v>125</v>
      </c>
      <c r="I118" s="31">
        <f t="shared" si="3"/>
        <v>0.2645502646</v>
      </c>
    </row>
    <row r="119" ht="22.5" customHeight="1">
      <c r="A119" s="35">
        <v>46064.0</v>
      </c>
      <c r="B119" s="21" t="s">
        <v>129</v>
      </c>
      <c r="C119" s="21" t="s">
        <v>225</v>
      </c>
      <c r="D119" s="21" t="s">
        <v>222</v>
      </c>
      <c r="E119" s="21">
        <v>400.0</v>
      </c>
      <c r="F119" s="21">
        <v>490.0</v>
      </c>
      <c r="G119" s="30">
        <f t="shared" si="1"/>
        <v>445</v>
      </c>
      <c r="H119" s="30">
        <f t="shared" si="2"/>
        <v>90</v>
      </c>
      <c r="I119" s="31">
        <f t="shared" si="3"/>
        <v>0.202247191</v>
      </c>
    </row>
    <row r="120" ht="22.5" customHeight="1">
      <c r="A120" s="35">
        <v>46064.0</v>
      </c>
      <c r="B120" s="21" t="s">
        <v>120</v>
      </c>
      <c r="C120" s="21" t="s">
        <v>226</v>
      </c>
      <c r="D120" s="21" t="s">
        <v>222</v>
      </c>
      <c r="E120" s="21">
        <v>395.0</v>
      </c>
      <c r="F120" s="21">
        <v>520.0</v>
      </c>
      <c r="G120" s="30">
        <f t="shared" si="1"/>
        <v>457.5</v>
      </c>
      <c r="H120" s="30">
        <f t="shared" si="2"/>
        <v>125</v>
      </c>
      <c r="I120" s="31">
        <f t="shared" si="3"/>
        <v>0.2732240437</v>
      </c>
    </row>
    <row r="121" ht="22.5" customHeight="1">
      <c r="A121" s="35">
        <v>46064.0</v>
      </c>
      <c r="B121" s="21" t="s">
        <v>129</v>
      </c>
      <c r="C121" s="21" t="s">
        <v>226</v>
      </c>
      <c r="D121" s="21" t="s">
        <v>222</v>
      </c>
      <c r="E121" s="21">
        <v>375.0</v>
      </c>
      <c r="F121" s="21">
        <v>475.0</v>
      </c>
      <c r="G121" s="30">
        <f t="shared" si="1"/>
        <v>425</v>
      </c>
      <c r="H121" s="30">
        <f t="shared" si="2"/>
        <v>100</v>
      </c>
      <c r="I121" s="31">
        <f t="shared" si="3"/>
        <v>0.2352941176</v>
      </c>
    </row>
    <row r="122" ht="22.5" customHeight="1">
      <c r="A122" s="35">
        <v>46064.0</v>
      </c>
      <c r="B122" s="21" t="s">
        <v>120</v>
      </c>
      <c r="C122" s="21" t="s">
        <v>227</v>
      </c>
      <c r="D122" s="21" t="s">
        <v>222</v>
      </c>
      <c r="E122" s="21">
        <v>350.0</v>
      </c>
      <c r="F122" s="21">
        <v>455.0</v>
      </c>
      <c r="G122" s="30">
        <f t="shared" si="1"/>
        <v>402.5</v>
      </c>
      <c r="H122" s="30">
        <f t="shared" si="2"/>
        <v>105</v>
      </c>
      <c r="I122" s="31">
        <f t="shared" si="3"/>
        <v>0.2608695652</v>
      </c>
    </row>
    <row r="123" ht="22.5" customHeight="1">
      <c r="A123" s="35">
        <v>46064.0</v>
      </c>
      <c r="B123" s="21" t="s">
        <v>129</v>
      </c>
      <c r="C123" s="21" t="s">
        <v>227</v>
      </c>
      <c r="D123" s="21" t="s">
        <v>222</v>
      </c>
      <c r="E123" s="21">
        <v>340.0</v>
      </c>
      <c r="F123" s="21">
        <v>385.0</v>
      </c>
      <c r="G123" s="30">
        <f t="shared" si="1"/>
        <v>362.5</v>
      </c>
      <c r="H123" s="30">
        <f t="shared" si="2"/>
        <v>45</v>
      </c>
      <c r="I123" s="31">
        <f t="shared" si="3"/>
        <v>0.124137931</v>
      </c>
    </row>
    <row r="124" ht="22.5" customHeight="1">
      <c r="A124" s="35">
        <v>46064.0</v>
      </c>
      <c r="B124" s="21" t="s">
        <v>120</v>
      </c>
      <c r="C124" s="21" t="s">
        <v>228</v>
      </c>
      <c r="D124" s="21" t="s">
        <v>222</v>
      </c>
      <c r="E124" s="21">
        <v>325.0</v>
      </c>
      <c r="F124" s="21">
        <v>370.0</v>
      </c>
      <c r="G124" s="30">
        <f t="shared" si="1"/>
        <v>347.5</v>
      </c>
      <c r="H124" s="30">
        <f t="shared" si="2"/>
        <v>45</v>
      </c>
      <c r="I124" s="31">
        <f t="shared" si="3"/>
        <v>0.1294964029</v>
      </c>
    </row>
    <row r="125" ht="22.5" customHeight="1">
      <c r="A125" s="35">
        <v>46064.0</v>
      </c>
      <c r="B125" s="21" t="s">
        <v>129</v>
      </c>
      <c r="C125" s="21" t="s">
        <v>228</v>
      </c>
      <c r="D125" s="21" t="s">
        <v>222</v>
      </c>
      <c r="E125" s="21">
        <v>300.0</v>
      </c>
      <c r="F125" s="21">
        <v>352.0</v>
      </c>
      <c r="G125" s="30">
        <f t="shared" si="1"/>
        <v>326</v>
      </c>
      <c r="H125" s="30">
        <f t="shared" si="2"/>
        <v>52</v>
      </c>
      <c r="I125" s="31">
        <f t="shared" si="3"/>
        <v>0.1595092025</v>
      </c>
    </row>
    <row r="126" ht="22.5" customHeight="1">
      <c r="A126" s="35">
        <v>46064.0</v>
      </c>
      <c r="B126" s="21" t="s">
        <v>120</v>
      </c>
      <c r="C126" s="21" t="s">
        <v>229</v>
      </c>
      <c r="D126" s="21" t="s">
        <v>222</v>
      </c>
      <c r="E126" s="21">
        <v>260.0</v>
      </c>
      <c r="F126" s="21">
        <v>334.0</v>
      </c>
      <c r="G126" s="30">
        <f t="shared" si="1"/>
        <v>297</v>
      </c>
      <c r="H126" s="30">
        <f t="shared" si="2"/>
        <v>74</v>
      </c>
      <c r="I126" s="31">
        <f t="shared" si="3"/>
        <v>0.2491582492</v>
      </c>
    </row>
    <row r="127" ht="22.5" customHeight="1">
      <c r="A127" s="35">
        <v>46064.0</v>
      </c>
      <c r="B127" s="21" t="s">
        <v>129</v>
      </c>
      <c r="C127" s="21" t="s">
        <v>229</v>
      </c>
      <c r="D127" s="21" t="s">
        <v>222</v>
      </c>
      <c r="E127" s="21">
        <v>250.0</v>
      </c>
      <c r="F127" s="21">
        <v>318.0</v>
      </c>
      <c r="G127" s="30">
        <f t="shared" si="1"/>
        <v>284</v>
      </c>
      <c r="H127" s="30">
        <f t="shared" si="2"/>
        <v>68</v>
      </c>
      <c r="I127" s="31">
        <f t="shared" si="3"/>
        <v>0.2394366197</v>
      </c>
    </row>
    <row r="128" ht="22.5" customHeight="1">
      <c r="A128" s="35">
        <v>46072.0</v>
      </c>
      <c r="B128" s="21" t="s">
        <v>136</v>
      </c>
      <c r="C128" s="21"/>
      <c r="D128" s="21" t="s">
        <v>210</v>
      </c>
      <c r="E128" s="21">
        <v>101.0</v>
      </c>
      <c r="F128" s="21">
        <v>133.0</v>
      </c>
      <c r="G128" s="30">
        <f t="shared" si="1"/>
        <v>117</v>
      </c>
      <c r="H128" s="30">
        <f t="shared" si="2"/>
        <v>32</v>
      </c>
      <c r="I128" s="31">
        <f t="shared" si="3"/>
        <v>0.2735042735</v>
      </c>
    </row>
    <row r="129" ht="22.5" customHeight="1">
      <c r="A129" s="35">
        <v>46072.0</v>
      </c>
      <c r="B129" s="21" t="s">
        <v>136</v>
      </c>
      <c r="C129" s="21"/>
      <c r="D129" s="21" t="s">
        <v>211</v>
      </c>
      <c r="E129" s="21">
        <v>134.0</v>
      </c>
      <c r="F129" s="21">
        <v>152.0</v>
      </c>
      <c r="G129" s="30">
        <f t="shared" si="1"/>
        <v>143</v>
      </c>
      <c r="H129" s="30">
        <f t="shared" si="2"/>
        <v>18</v>
      </c>
      <c r="I129" s="31">
        <f t="shared" si="3"/>
        <v>0.1258741259</v>
      </c>
    </row>
    <row r="130" ht="22.5" customHeight="1">
      <c r="A130" s="35">
        <v>46072.0</v>
      </c>
      <c r="B130" s="21" t="s">
        <v>136</v>
      </c>
      <c r="C130" s="21"/>
      <c r="D130" s="21" t="s">
        <v>212</v>
      </c>
      <c r="E130" s="21">
        <v>154.0</v>
      </c>
      <c r="F130" s="21">
        <v>188.0</v>
      </c>
      <c r="G130" s="30">
        <f t="shared" si="1"/>
        <v>171</v>
      </c>
      <c r="H130" s="30">
        <f t="shared" si="2"/>
        <v>34</v>
      </c>
      <c r="I130" s="31">
        <f t="shared" si="3"/>
        <v>0.1988304094</v>
      </c>
    </row>
    <row r="131" ht="22.5" customHeight="1">
      <c r="A131" s="35">
        <v>46072.0</v>
      </c>
      <c r="B131" s="21" t="s">
        <v>139</v>
      </c>
      <c r="C131" s="21"/>
      <c r="D131" s="21" t="s">
        <v>270</v>
      </c>
      <c r="E131" s="21">
        <v>180.0</v>
      </c>
      <c r="F131" s="21">
        <v>197.0</v>
      </c>
      <c r="G131" s="30">
        <f t="shared" si="1"/>
        <v>188.5</v>
      </c>
      <c r="H131" s="30">
        <f t="shared" si="2"/>
        <v>17</v>
      </c>
      <c r="I131" s="31">
        <f t="shared" si="3"/>
        <v>0.09018567639</v>
      </c>
    </row>
    <row r="132" ht="22.5" customHeight="1">
      <c r="A132" s="35">
        <v>46072.0</v>
      </c>
      <c r="B132" s="21" t="s">
        <v>139</v>
      </c>
      <c r="C132" s="21"/>
      <c r="D132" s="21" t="s">
        <v>271</v>
      </c>
      <c r="E132" s="21">
        <v>165.0</v>
      </c>
      <c r="F132" s="21">
        <v>174.0</v>
      </c>
      <c r="G132" s="30">
        <f t="shared" si="1"/>
        <v>169.5</v>
      </c>
      <c r="H132" s="30">
        <f t="shared" si="2"/>
        <v>9</v>
      </c>
      <c r="I132" s="31">
        <f t="shared" si="3"/>
        <v>0.05309734513</v>
      </c>
    </row>
    <row r="133" ht="22.5" customHeight="1">
      <c r="A133" s="35">
        <v>46072.0</v>
      </c>
      <c r="B133" s="21" t="s">
        <v>133</v>
      </c>
      <c r="C133" s="21"/>
      <c r="D133" s="21" t="s">
        <v>245</v>
      </c>
      <c r="E133" s="21">
        <v>3000.0</v>
      </c>
      <c r="F133" s="21">
        <v>5200.0</v>
      </c>
      <c r="G133" s="30">
        <f t="shared" si="1"/>
        <v>4100</v>
      </c>
      <c r="H133" s="30">
        <f t="shared" si="2"/>
        <v>2200</v>
      </c>
      <c r="I133" s="31">
        <f t="shared" si="3"/>
        <v>0.5365853659</v>
      </c>
    </row>
    <row r="134" ht="22.5" customHeight="1">
      <c r="A134" s="35">
        <v>46072.0</v>
      </c>
      <c r="B134" s="21" t="s">
        <v>133</v>
      </c>
      <c r="C134" s="21"/>
      <c r="D134" s="21" t="s">
        <v>149</v>
      </c>
      <c r="E134" s="21">
        <v>1500.0</v>
      </c>
      <c r="F134" s="21">
        <v>4900.0</v>
      </c>
      <c r="G134" s="30">
        <f t="shared" si="1"/>
        <v>3200</v>
      </c>
      <c r="H134" s="30">
        <f t="shared" si="2"/>
        <v>3400</v>
      </c>
      <c r="I134" s="31">
        <f t="shared" si="3"/>
        <v>1.0625</v>
      </c>
    </row>
    <row r="135" ht="22.5" customHeight="1">
      <c r="A135" s="35">
        <v>46072.0</v>
      </c>
      <c r="B135" s="21" t="s">
        <v>120</v>
      </c>
      <c r="C135" s="21" t="s">
        <v>258</v>
      </c>
      <c r="D135" s="21" t="s">
        <v>222</v>
      </c>
      <c r="E135" s="21">
        <v>550.0</v>
      </c>
      <c r="F135" s="21">
        <v>805.0</v>
      </c>
      <c r="G135" s="30">
        <f t="shared" si="1"/>
        <v>677.5</v>
      </c>
      <c r="H135" s="30">
        <f t="shared" si="2"/>
        <v>255</v>
      </c>
      <c r="I135" s="31">
        <f t="shared" si="3"/>
        <v>0.3763837638</v>
      </c>
    </row>
    <row r="136" ht="22.5" customHeight="1">
      <c r="A136" s="35">
        <v>46072.0</v>
      </c>
      <c r="B136" s="21" t="s">
        <v>129</v>
      </c>
      <c r="C136" s="21" t="s">
        <v>258</v>
      </c>
      <c r="D136" s="21" t="s">
        <v>222</v>
      </c>
      <c r="E136" s="21">
        <v>525.0</v>
      </c>
      <c r="F136" s="21">
        <v>790.0</v>
      </c>
      <c r="G136" s="30">
        <f t="shared" si="1"/>
        <v>657.5</v>
      </c>
      <c r="H136" s="30">
        <f t="shared" si="2"/>
        <v>265</v>
      </c>
      <c r="I136" s="31">
        <f t="shared" si="3"/>
        <v>0.4030418251</v>
      </c>
    </row>
    <row r="137" ht="22.5" customHeight="1">
      <c r="A137" s="35">
        <v>46072.0</v>
      </c>
      <c r="B137" s="21" t="s">
        <v>120</v>
      </c>
      <c r="C137" s="21" t="s">
        <v>224</v>
      </c>
      <c r="D137" s="21" t="s">
        <v>222</v>
      </c>
      <c r="E137" s="21">
        <v>475.0</v>
      </c>
      <c r="F137" s="21">
        <v>665.0</v>
      </c>
      <c r="G137" s="30">
        <f t="shared" si="1"/>
        <v>570</v>
      </c>
      <c r="H137" s="30">
        <f t="shared" si="2"/>
        <v>190</v>
      </c>
      <c r="I137" s="31">
        <f t="shared" si="3"/>
        <v>0.3333333333</v>
      </c>
    </row>
    <row r="138" ht="22.5" customHeight="1">
      <c r="A138" s="35">
        <v>46072.0</v>
      </c>
      <c r="B138" s="21" t="s">
        <v>129</v>
      </c>
      <c r="C138" s="21" t="s">
        <v>224</v>
      </c>
      <c r="D138" s="21" t="s">
        <v>222</v>
      </c>
      <c r="E138" s="21">
        <v>435.0</v>
      </c>
      <c r="F138" s="21">
        <v>570.0</v>
      </c>
      <c r="G138" s="30">
        <f t="shared" si="1"/>
        <v>502.5</v>
      </c>
      <c r="H138" s="30">
        <f t="shared" si="2"/>
        <v>135</v>
      </c>
      <c r="I138" s="31">
        <f t="shared" si="3"/>
        <v>0.2686567164</v>
      </c>
    </row>
    <row r="139" ht="22.5" customHeight="1">
      <c r="A139" s="35">
        <v>46072.0</v>
      </c>
      <c r="B139" s="21" t="s">
        <v>120</v>
      </c>
      <c r="C139" s="21" t="s">
        <v>225</v>
      </c>
      <c r="D139" s="21" t="s">
        <v>222</v>
      </c>
      <c r="E139" s="21">
        <v>410.0</v>
      </c>
      <c r="F139" s="21">
        <v>610.0</v>
      </c>
      <c r="G139" s="30">
        <f t="shared" si="1"/>
        <v>510</v>
      </c>
      <c r="H139" s="30">
        <f t="shared" si="2"/>
        <v>200</v>
      </c>
      <c r="I139" s="31">
        <f t="shared" si="3"/>
        <v>0.3921568627</v>
      </c>
    </row>
    <row r="140" ht="22.5" customHeight="1">
      <c r="A140" s="35">
        <v>46072.0</v>
      </c>
      <c r="B140" s="21" t="s">
        <v>129</v>
      </c>
      <c r="C140" s="21" t="s">
        <v>225</v>
      </c>
      <c r="D140" s="21" t="s">
        <v>222</v>
      </c>
      <c r="E140" s="21">
        <v>400.0</v>
      </c>
      <c r="F140" s="21">
        <v>517.0</v>
      </c>
      <c r="G140" s="30">
        <f t="shared" si="1"/>
        <v>458.5</v>
      </c>
      <c r="H140" s="30">
        <f t="shared" si="2"/>
        <v>117</v>
      </c>
      <c r="I140" s="31">
        <f t="shared" si="3"/>
        <v>0.2551799346</v>
      </c>
    </row>
    <row r="141" ht="22.5" customHeight="1">
      <c r="A141" s="35">
        <v>46072.0</v>
      </c>
      <c r="B141" s="21" t="s">
        <v>120</v>
      </c>
      <c r="C141" s="21" t="s">
        <v>226</v>
      </c>
      <c r="D141" s="21" t="s">
        <v>222</v>
      </c>
      <c r="E141" s="21">
        <v>395.0</v>
      </c>
      <c r="F141" s="21">
        <v>537.0</v>
      </c>
      <c r="G141" s="30">
        <f t="shared" si="1"/>
        <v>466</v>
      </c>
      <c r="H141" s="30">
        <f t="shared" si="2"/>
        <v>142</v>
      </c>
      <c r="I141" s="31">
        <f t="shared" si="3"/>
        <v>0.30472103</v>
      </c>
    </row>
    <row r="142" ht="22.5" customHeight="1">
      <c r="A142" s="35">
        <v>46072.0</v>
      </c>
      <c r="B142" s="21" t="s">
        <v>129</v>
      </c>
      <c r="C142" s="21" t="s">
        <v>226</v>
      </c>
      <c r="D142" s="21" t="s">
        <v>222</v>
      </c>
      <c r="E142" s="21">
        <v>375.0</v>
      </c>
      <c r="F142" s="21">
        <v>447.0</v>
      </c>
      <c r="G142" s="30">
        <f t="shared" si="1"/>
        <v>411</v>
      </c>
      <c r="H142" s="30">
        <f t="shared" si="2"/>
        <v>72</v>
      </c>
      <c r="I142" s="31">
        <f t="shared" si="3"/>
        <v>0.1751824818</v>
      </c>
    </row>
    <row r="143" ht="22.5" customHeight="1">
      <c r="A143" s="35">
        <v>46072.0</v>
      </c>
      <c r="B143" s="21" t="s">
        <v>120</v>
      </c>
      <c r="C143" s="21" t="s">
        <v>227</v>
      </c>
      <c r="D143" s="21" t="s">
        <v>222</v>
      </c>
      <c r="E143" s="21">
        <v>350.0</v>
      </c>
      <c r="F143" s="21">
        <v>460.0</v>
      </c>
      <c r="G143" s="30">
        <f t="shared" si="1"/>
        <v>405</v>
      </c>
      <c r="H143" s="30">
        <f t="shared" si="2"/>
        <v>110</v>
      </c>
      <c r="I143" s="31">
        <f t="shared" si="3"/>
        <v>0.2716049383</v>
      </c>
    </row>
    <row r="144" ht="22.5" customHeight="1">
      <c r="A144" s="35">
        <v>46072.0</v>
      </c>
      <c r="B144" s="21" t="s">
        <v>129</v>
      </c>
      <c r="C144" s="21" t="s">
        <v>227</v>
      </c>
      <c r="D144" s="21" t="s">
        <v>222</v>
      </c>
      <c r="E144" s="21">
        <v>340.0</v>
      </c>
      <c r="F144" s="21">
        <v>400.0</v>
      </c>
      <c r="G144" s="30">
        <f t="shared" si="1"/>
        <v>370</v>
      </c>
      <c r="H144" s="30">
        <f t="shared" si="2"/>
        <v>60</v>
      </c>
      <c r="I144" s="31">
        <f t="shared" si="3"/>
        <v>0.1621621622</v>
      </c>
    </row>
    <row r="145" ht="22.5" customHeight="1">
      <c r="A145" s="35">
        <v>46072.0</v>
      </c>
      <c r="B145" s="21" t="s">
        <v>120</v>
      </c>
      <c r="C145" s="21" t="s">
        <v>228</v>
      </c>
      <c r="D145" s="21" t="s">
        <v>222</v>
      </c>
      <c r="E145" s="21">
        <v>325.0</v>
      </c>
      <c r="F145" s="21">
        <v>390.0</v>
      </c>
      <c r="G145" s="30">
        <f t="shared" si="1"/>
        <v>357.5</v>
      </c>
      <c r="H145" s="30">
        <f t="shared" si="2"/>
        <v>65</v>
      </c>
      <c r="I145" s="31">
        <f t="shared" si="3"/>
        <v>0.1818181818</v>
      </c>
    </row>
    <row r="146" ht="22.5" customHeight="1">
      <c r="A146" s="35">
        <v>46072.0</v>
      </c>
      <c r="B146" s="21" t="s">
        <v>129</v>
      </c>
      <c r="C146" s="21" t="s">
        <v>228</v>
      </c>
      <c r="D146" s="21" t="s">
        <v>222</v>
      </c>
      <c r="E146" s="21">
        <v>300.0</v>
      </c>
      <c r="F146" s="21">
        <v>337.0</v>
      </c>
      <c r="G146" s="30">
        <f t="shared" si="1"/>
        <v>318.5</v>
      </c>
      <c r="H146" s="30">
        <f t="shared" si="2"/>
        <v>37</v>
      </c>
      <c r="I146" s="31">
        <f t="shared" si="3"/>
        <v>0.1161695447</v>
      </c>
    </row>
    <row r="147" ht="22.5" customHeight="1">
      <c r="A147" s="35">
        <v>46072.0</v>
      </c>
      <c r="B147" s="21" t="s">
        <v>120</v>
      </c>
      <c r="C147" s="21" t="s">
        <v>229</v>
      </c>
      <c r="D147" s="21" t="s">
        <v>222</v>
      </c>
      <c r="E147" s="21">
        <v>260.0</v>
      </c>
      <c r="F147" s="21">
        <v>352.0</v>
      </c>
      <c r="G147" s="30">
        <f t="shared" si="1"/>
        <v>306</v>
      </c>
      <c r="H147" s="30">
        <f t="shared" si="2"/>
        <v>92</v>
      </c>
      <c r="I147" s="31">
        <f t="shared" si="3"/>
        <v>0.3006535948</v>
      </c>
    </row>
    <row r="148" ht="22.5" customHeight="1">
      <c r="A148" s="35">
        <v>46072.0</v>
      </c>
      <c r="B148" s="21" t="s">
        <v>129</v>
      </c>
      <c r="C148" s="21" t="s">
        <v>229</v>
      </c>
      <c r="D148" s="21" t="s">
        <v>222</v>
      </c>
      <c r="E148" s="21">
        <v>250.0</v>
      </c>
      <c r="F148" s="21">
        <v>310.0</v>
      </c>
      <c r="G148" s="30">
        <f t="shared" si="1"/>
        <v>280</v>
      </c>
      <c r="H148" s="30">
        <f t="shared" si="2"/>
        <v>60</v>
      </c>
      <c r="I148" s="31">
        <f t="shared" si="3"/>
        <v>0.2142857143</v>
      </c>
    </row>
  </sheetData>
  <dataValidations>
    <dataValidation type="custom" allowBlank="1" showDropDown="1" sqref="A2:A148">
      <formula1>OR(NOT(ISERROR(DATEVALUE(A2))), AND(ISNUMBER(A2), LEFT(CELL("format", A2))="D"))</formula1>
    </dataValidation>
    <dataValidation type="custom" allowBlank="1" showDropDown="1" sqref="G2:I148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13"/>
    <col customWidth="1" min="3" max="3" width="15.5"/>
    <col customWidth="1" min="5" max="5" width="12.75"/>
    <col customWidth="1" min="6" max="6" width="13.13"/>
  </cols>
  <sheetData>
    <row r="1" ht="22.5" customHeight="1">
      <c r="A1" s="11" t="s">
        <v>113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  <c r="G1" s="13" t="s">
        <v>188</v>
      </c>
      <c r="H1" s="13" t="s">
        <v>189</v>
      </c>
      <c r="I1" s="13" t="s">
        <v>190</v>
      </c>
    </row>
    <row r="2" ht="22.5" customHeight="1">
      <c r="A2" s="24">
        <v>46069.0</v>
      </c>
      <c r="B2" s="2" t="s">
        <v>120</v>
      </c>
      <c r="C2" s="2" t="s">
        <v>223</v>
      </c>
      <c r="E2" s="2">
        <v>400.0</v>
      </c>
      <c r="F2" s="2">
        <v>650.0</v>
      </c>
      <c r="G2" s="30">
        <f t="shared" ref="G2:G16" si="1">(E2+F2)/2</f>
        <v>525</v>
      </c>
      <c r="H2" s="30">
        <f t="shared" ref="H2:H16" si="2">F2-E2</f>
        <v>250</v>
      </c>
      <c r="I2" s="31">
        <f t="shared" ref="I2:I16" si="3">(F2-E2)/G2</f>
        <v>0.4761904762</v>
      </c>
    </row>
    <row r="3" ht="22.5" customHeight="1">
      <c r="A3" s="24">
        <v>46069.0</v>
      </c>
      <c r="B3" s="2" t="s">
        <v>120</v>
      </c>
      <c r="C3" s="2" t="s">
        <v>224</v>
      </c>
      <c r="E3" s="2">
        <v>275.0</v>
      </c>
      <c r="F3" s="2">
        <v>840.0</v>
      </c>
      <c r="G3" s="30">
        <f t="shared" si="1"/>
        <v>557.5</v>
      </c>
      <c r="H3" s="30">
        <f t="shared" si="2"/>
        <v>565</v>
      </c>
      <c r="I3" s="31">
        <f t="shared" si="3"/>
        <v>1.013452915</v>
      </c>
    </row>
    <row r="4" ht="22.5" customHeight="1">
      <c r="A4" s="24">
        <v>46069.0</v>
      </c>
      <c r="B4" s="2" t="s">
        <v>120</v>
      </c>
      <c r="C4" s="2" t="s">
        <v>225</v>
      </c>
      <c r="E4" s="2">
        <v>268.0</v>
      </c>
      <c r="F4" s="2">
        <v>575.0</v>
      </c>
      <c r="G4" s="30">
        <f t="shared" si="1"/>
        <v>421.5</v>
      </c>
      <c r="H4" s="30">
        <f t="shared" si="2"/>
        <v>307</v>
      </c>
      <c r="I4" s="31">
        <f t="shared" si="3"/>
        <v>0.7283511269</v>
      </c>
    </row>
    <row r="5" ht="22.5" customHeight="1">
      <c r="A5" s="24">
        <v>46069.0</v>
      </c>
      <c r="B5" s="2" t="s">
        <v>120</v>
      </c>
      <c r="C5" s="2" t="s">
        <v>226</v>
      </c>
      <c r="E5" s="2">
        <v>250.0</v>
      </c>
      <c r="F5" s="2">
        <v>525.0</v>
      </c>
      <c r="G5" s="30">
        <f t="shared" si="1"/>
        <v>387.5</v>
      </c>
      <c r="H5" s="30">
        <f t="shared" si="2"/>
        <v>275</v>
      </c>
      <c r="I5" s="31">
        <f t="shared" si="3"/>
        <v>0.7096774194</v>
      </c>
    </row>
    <row r="6" ht="22.5" customHeight="1">
      <c r="A6" s="24">
        <v>46069.0</v>
      </c>
      <c r="B6" s="2" t="s">
        <v>120</v>
      </c>
      <c r="C6" s="2" t="s">
        <v>227</v>
      </c>
      <c r="E6" s="2">
        <v>274.0</v>
      </c>
      <c r="F6" s="2">
        <v>430.0</v>
      </c>
      <c r="G6" s="30">
        <f t="shared" si="1"/>
        <v>352</v>
      </c>
      <c r="H6" s="30">
        <f t="shared" si="2"/>
        <v>156</v>
      </c>
      <c r="I6" s="31">
        <f t="shared" si="3"/>
        <v>0.4431818182</v>
      </c>
    </row>
    <row r="7" ht="22.5" customHeight="1">
      <c r="A7" s="24">
        <v>46069.0</v>
      </c>
      <c r="B7" s="2" t="s">
        <v>120</v>
      </c>
      <c r="C7" s="2" t="s">
        <v>269</v>
      </c>
      <c r="E7" s="2">
        <v>234.0</v>
      </c>
      <c r="F7" s="2">
        <v>375.0</v>
      </c>
      <c r="G7" s="30">
        <f t="shared" si="1"/>
        <v>304.5</v>
      </c>
      <c r="H7" s="30">
        <f t="shared" si="2"/>
        <v>141</v>
      </c>
      <c r="I7" s="31">
        <f t="shared" si="3"/>
        <v>0.4630541872</v>
      </c>
    </row>
    <row r="8" ht="22.5" customHeight="1">
      <c r="A8" s="24">
        <v>46069.0</v>
      </c>
      <c r="B8" s="2" t="s">
        <v>129</v>
      </c>
      <c r="C8" s="2" t="s">
        <v>223</v>
      </c>
      <c r="E8" s="2">
        <v>250.0</v>
      </c>
      <c r="F8" s="2">
        <v>625.0</v>
      </c>
      <c r="G8" s="30">
        <f t="shared" si="1"/>
        <v>437.5</v>
      </c>
      <c r="H8" s="30">
        <f t="shared" si="2"/>
        <v>375</v>
      </c>
      <c r="I8" s="31">
        <f t="shared" si="3"/>
        <v>0.8571428571</v>
      </c>
    </row>
    <row r="9" ht="22.5" customHeight="1">
      <c r="A9" s="24">
        <v>46069.0</v>
      </c>
      <c r="B9" s="2" t="s">
        <v>129</v>
      </c>
      <c r="C9" s="2" t="s">
        <v>224</v>
      </c>
      <c r="E9" s="2">
        <v>350.0</v>
      </c>
      <c r="F9" s="2">
        <v>605.0</v>
      </c>
      <c r="G9" s="30">
        <f t="shared" si="1"/>
        <v>477.5</v>
      </c>
      <c r="H9" s="30">
        <f t="shared" si="2"/>
        <v>255</v>
      </c>
      <c r="I9" s="31">
        <f t="shared" si="3"/>
        <v>0.5340314136</v>
      </c>
    </row>
    <row r="10" ht="22.5" customHeight="1">
      <c r="A10" s="24">
        <v>46069.0</v>
      </c>
      <c r="B10" s="2" t="s">
        <v>129</v>
      </c>
      <c r="C10" s="2" t="s">
        <v>225</v>
      </c>
      <c r="E10" s="2">
        <v>394.0</v>
      </c>
      <c r="F10" s="2">
        <v>530.0</v>
      </c>
      <c r="G10" s="30">
        <f t="shared" si="1"/>
        <v>462</v>
      </c>
      <c r="H10" s="30">
        <f t="shared" si="2"/>
        <v>136</v>
      </c>
      <c r="I10" s="31">
        <f t="shared" si="3"/>
        <v>0.2943722944</v>
      </c>
    </row>
    <row r="11" ht="22.5" customHeight="1">
      <c r="A11" s="24">
        <v>46069.0</v>
      </c>
      <c r="B11" s="2" t="s">
        <v>129</v>
      </c>
      <c r="C11" s="2" t="s">
        <v>226</v>
      </c>
      <c r="E11" s="2">
        <v>230.0</v>
      </c>
      <c r="F11" s="2">
        <v>415.0</v>
      </c>
      <c r="G11" s="30">
        <f t="shared" si="1"/>
        <v>322.5</v>
      </c>
      <c r="H11" s="30">
        <f t="shared" si="2"/>
        <v>185</v>
      </c>
      <c r="I11" s="31">
        <f t="shared" si="3"/>
        <v>0.5736434109</v>
      </c>
    </row>
    <row r="12" ht="22.5" customHeight="1">
      <c r="A12" s="24">
        <v>46069.0</v>
      </c>
      <c r="B12" s="2" t="s">
        <v>129</v>
      </c>
      <c r="C12" s="2" t="s">
        <v>227</v>
      </c>
      <c r="E12" s="2">
        <v>220.0</v>
      </c>
      <c r="F12" s="2">
        <v>384.0</v>
      </c>
      <c r="G12" s="30">
        <f t="shared" si="1"/>
        <v>302</v>
      </c>
      <c r="H12" s="30">
        <f t="shared" si="2"/>
        <v>164</v>
      </c>
      <c r="I12" s="31">
        <f t="shared" si="3"/>
        <v>0.5430463576</v>
      </c>
    </row>
    <row r="13" ht="22.5" customHeight="1">
      <c r="A13" s="24">
        <v>46069.0</v>
      </c>
      <c r="B13" s="2" t="s">
        <v>129</v>
      </c>
      <c r="C13" s="2" t="s">
        <v>269</v>
      </c>
      <c r="E13" s="2">
        <v>150.0</v>
      </c>
      <c r="F13" s="2">
        <v>280.0</v>
      </c>
      <c r="G13" s="30">
        <f t="shared" si="1"/>
        <v>215</v>
      </c>
      <c r="H13" s="30">
        <f t="shared" si="2"/>
        <v>130</v>
      </c>
      <c r="I13" s="31">
        <f t="shared" si="3"/>
        <v>0.6046511628</v>
      </c>
    </row>
    <row r="14" ht="22.5" customHeight="1">
      <c r="A14" s="24">
        <v>46069.0</v>
      </c>
      <c r="B14" s="2" t="s">
        <v>133</v>
      </c>
      <c r="E14" s="2">
        <v>2000.0</v>
      </c>
      <c r="F14" s="2">
        <v>2850.0</v>
      </c>
      <c r="G14" s="30">
        <f t="shared" si="1"/>
        <v>2425</v>
      </c>
      <c r="H14" s="30">
        <f t="shared" si="2"/>
        <v>850</v>
      </c>
      <c r="I14" s="31">
        <f t="shared" si="3"/>
        <v>0.3505154639</v>
      </c>
    </row>
    <row r="15" ht="22.5" customHeight="1">
      <c r="A15" s="24">
        <v>46069.0</v>
      </c>
      <c r="B15" s="2" t="s">
        <v>162</v>
      </c>
      <c r="C15" s="2" t="s">
        <v>272</v>
      </c>
      <c r="E15" s="2">
        <v>117.0</v>
      </c>
      <c r="F15" s="2">
        <v>163.0</v>
      </c>
      <c r="G15" s="30">
        <f t="shared" si="1"/>
        <v>140</v>
      </c>
      <c r="H15" s="30">
        <f t="shared" si="2"/>
        <v>46</v>
      </c>
      <c r="I15" s="31">
        <f t="shared" si="3"/>
        <v>0.3285714286</v>
      </c>
    </row>
    <row r="16" ht="22.5" customHeight="1">
      <c r="A16" s="24">
        <v>46069.0</v>
      </c>
      <c r="B16" s="2" t="s">
        <v>159</v>
      </c>
      <c r="C16" s="2" t="s">
        <v>272</v>
      </c>
      <c r="E16" s="2">
        <v>131.0</v>
      </c>
      <c r="F16" s="2">
        <v>195.0</v>
      </c>
      <c r="G16" s="30">
        <f t="shared" si="1"/>
        <v>163</v>
      </c>
      <c r="H16" s="30">
        <f t="shared" si="2"/>
        <v>64</v>
      </c>
      <c r="I16" s="31">
        <f t="shared" si="3"/>
        <v>0.3926380368</v>
      </c>
    </row>
  </sheetData>
  <dataValidations>
    <dataValidation type="custom" allowBlank="1" showDropDown="1" sqref="A2:A16">
      <formula1>OR(NOT(ISERROR(DATEVALUE(A2))), AND(ISNUMBER(A2), LEFT(CELL("format", A2))="D"))</formula1>
    </dataValidation>
    <dataValidation type="custom" allowBlank="1" showDropDown="1" sqref="G2:I16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